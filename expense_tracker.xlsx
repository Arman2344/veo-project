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 Expenses" sheetId="2" state="visible" r:id="rId2"/>
    <sheet name="Monthly Summary" sheetId="3" state="visible" r:id="rId3"/>
    <sheet name="Category Analysis" sheetId="4" state="visible" r:id="rId4"/>
    <sheet name="Budget Tracking" sheetId="5" state="visible" r:id="rId5"/>
    <sheet name="Charts &amp; Analytics" sheetId="6" state="visible" r:id="rId6"/>
  </sheets>
  <definedNames>
    <definedName name="ExpenseData">'Daily Expenses'!$A$2:$I$201</definedName>
    <definedName name="ExpenseDates">'Daily Expenses'!$A$2:$A$201</definedName>
    <definedName name="ExpenseAmounts">'Daily Expenses'!$G$2:$G$201</definedName>
    <definedName name="ExpenseCategories">'Daily Expenses'!$C$2:$C$201</definedName>
    <definedName name="MonthlyTotals">'Monthly Summary'!$B$3:$B$14</definedName>
    <definedName name="CategoryTotals">'Category Analysis'!$B$3:$B$17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CHF&quot; #,##0.00"/>
    <numFmt numFmtId="167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1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1B2A4A"/>
      <sz val="12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1B2A4A"/>
      <sz val="10"/>
    </font>
    <font>
      <name val="Calibri"/>
      <b val="1"/>
      <color rgb="00FFFFFF"/>
      <sz val="18"/>
    </font>
    <font>
      <name val="Calibri"/>
      <b val="1"/>
      <color rgb="00F5F6FA"/>
      <sz val="9"/>
    </font>
    <font>
      <name val="Calibri"/>
      <b val="1"/>
      <color rgb="00FFFFFF"/>
      <sz val="20"/>
    </font>
  </fonts>
  <fills count="10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9F9F9"/>
        <bgColor rgb="00F9F9F9"/>
      </patternFill>
    </fill>
    <fill>
      <patternFill patternType="solid">
        <fgColor rgb="003498DB"/>
        <bgColor rgb="003498DB"/>
      </patternFill>
    </fill>
    <fill>
      <patternFill patternType="solid">
        <fgColor rgb="002980B9"/>
        <bgColor rgb="002980B9"/>
      </patternFill>
    </fill>
    <fill>
      <patternFill patternType="solid">
        <fgColor rgb="00D6EAF8"/>
        <bgColor rgb="00D6EAF8"/>
      </patternFill>
    </fill>
    <fill>
      <patternFill patternType="solid">
        <fgColor rgb="002ECC71"/>
        <bgColor rgb="002ECC71"/>
      </patternFill>
    </fill>
    <fill>
      <patternFill patternType="solid">
        <fgColor rgb="008E44AD"/>
        <bgColor rgb="008E44AD"/>
      </patternFill>
    </fill>
    <fill>
      <patternFill patternType="solid">
        <fgColor rgb="00E74C3C"/>
        <bgColor rgb="00E74C3C"/>
      </patternFill>
    </fill>
  </fills>
  <borders count="16">
    <border>
      <left/>
      <right/>
      <top/>
      <bottom/>
      <diagonal/>
    </border>
    <border>
      <left style="thin">
        <color rgb="001B2A4A"/>
      </left>
      <right style="thin">
        <color rgb="001B2A4A"/>
      </right>
      <top style="thin">
        <color rgb="001B2A4A"/>
      </top>
      <bottom style="thin">
        <color rgb="001B2A4A"/>
      </bottom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medium">
        <color rgb="003498DB"/>
      </left>
      <right style="medium">
        <color rgb="003498DB"/>
      </right>
      <top style="medium">
        <color rgb="003498DB"/>
      </top>
      <bottom style="medium">
        <color rgb="003498DB"/>
      </bottom>
    </border>
    <border>
      <left style="medium">
        <color rgb="001B2A4A"/>
      </left>
      <right style="medium">
        <color rgb="001B2A4A"/>
      </right>
      <top style="medium">
        <color rgb="001B2A4A"/>
      </top>
    </border>
    <border>
      <left style="medium">
        <color rgb="001B2A4A"/>
      </left>
      <right style="medium">
        <color rgb="001B2A4A"/>
      </right>
      <bottom style="medium">
        <color rgb="001B2A4A"/>
      </bottom>
    </border>
    <border>
      <left style="medium">
        <color rgb="003498DB"/>
      </left>
      <right style="medium">
        <color rgb="003498DB"/>
      </right>
      <top style="medium">
        <color rgb="003498DB"/>
      </top>
    </border>
    <border>
      <left style="medium">
        <color rgb="003498DB"/>
      </left>
      <right style="medium">
        <color rgb="003498DB"/>
      </right>
      <bottom style="medium">
        <color rgb="003498DB"/>
      </bottom>
    </border>
    <border>
      <left style="medium">
        <color rgb="002980B9"/>
      </left>
      <right style="medium">
        <color rgb="002980B9"/>
      </right>
      <top style="medium">
        <color rgb="002980B9"/>
      </top>
    </border>
    <border>
      <left style="medium">
        <color rgb="002980B9"/>
      </left>
      <right style="medium">
        <color rgb="002980B9"/>
      </right>
      <bottom style="medium">
        <color rgb="002980B9"/>
      </bottom>
    </border>
    <border>
      <left style="medium">
        <color rgb="002ECC71"/>
      </left>
      <right style="medium">
        <color rgb="002ECC71"/>
      </right>
      <top style="medium">
        <color rgb="002ECC71"/>
      </top>
    </border>
    <border>
      <left style="medium">
        <color rgb="002ECC71"/>
      </left>
      <right style="medium">
        <color rgb="002ECC71"/>
      </right>
      <bottom style="medium">
        <color rgb="002ECC71"/>
      </bottom>
    </border>
    <border>
      <left style="medium">
        <color rgb="008E44AD"/>
      </left>
      <right style="medium">
        <color rgb="008E44AD"/>
      </right>
      <top style="medium">
        <color rgb="008E44AD"/>
      </top>
    </border>
    <border>
      <left style="medium">
        <color rgb="008E44AD"/>
      </left>
      <right style="medium">
        <color rgb="008E44AD"/>
      </right>
      <bottom style="medium">
        <color rgb="008E44AD"/>
      </bottom>
    </border>
    <border>
      <left style="medium">
        <color rgb="00E74C3C"/>
      </left>
      <right style="medium">
        <color rgb="00E74C3C"/>
      </right>
      <top style="medium">
        <color rgb="00E74C3C"/>
      </top>
    </border>
    <border>
      <left style="medium">
        <color rgb="00E74C3C"/>
      </left>
      <right style="medium">
        <color rgb="00E74C3C"/>
      </right>
      <bottom style="medium">
        <color rgb="00E74C3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bottom"/>
    </xf>
    <xf numFmtId="0" fontId="12" fillId="4" borderId="6" applyAlignment="1" pivotButton="0" quotePrefix="0" xfId="0">
      <alignment horizontal="center" vertical="bottom"/>
    </xf>
    <xf numFmtId="0" fontId="12" fillId="5" borderId="8" applyAlignment="1" pivotButton="0" quotePrefix="0" xfId="0">
      <alignment horizontal="center" vertical="bottom"/>
    </xf>
    <xf numFmtId="166" fontId="13" fillId="2" borderId="5" applyAlignment="1" pivotButton="0" quotePrefix="0" xfId="0">
      <alignment horizontal="center" vertical="center"/>
    </xf>
    <xf numFmtId="166" fontId="13" fillId="4" borderId="7" applyAlignment="1" pivotButton="0" quotePrefix="0" xfId="0">
      <alignment horizontal="center" vertical="center"/>
    </xf>
    <xf numFmtId="166" fontId="13" fillId="5" borderId="9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bottom"/>
    </xf>
    <xf numFmtId="0" fontId="12" fillId="8" borderId="12" applyAlignment="1" pivotButton="0" quotePrefix="0" xfId="0">
      <alignment horizontal="center" vertical="bottom"/>
    </xf>
    <xf numFmtId="0" fontId="12" fillId="9" borderId="14" applyAlignment="1" pivotButton="0" quotePrefix="0" xfId="0">
      <alignment horizontal="center" vertical="bottom"/>
    </xf>
    <xf numFmtId="166" fontId="13" fillId="7" borderId="11" applyAlignment="1" pivotButton="0" quotePrefix="0" xfId="0">
      <alignment horizontal="center" vertical="center"/>
    </xf>
    <xf numFmtId="49" fontId="13" fillId="8" borderId="13" applyAlignment="1" pivotButton="0" quotePrefix="0" xfId="0">
      <alignment horizontal="center" vertical="center"/>
    </xf>
    <xf numFmtId="166" fontId="13" fillId="9" borderId="15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165" fontId="2" fillId="3" borderId="1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166" fontId="2" fillId="3" borderId="1" applyProtection="1" pivotButton="0" quotePrefix="0" xfId="0">
      <protection locked="0" hidden="0"/>
    </xf>
    <xf numFmtId="166" fontId="2" fillId="3" borderId="1" pivotButton="0" quotePrefix="0" xfId="0"/>
    <xf numFmtId="165" fontId="2" fillId="0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6" fontId="2" fillId="0" borderId="1" applyProtection="1" pivotButton="0" quotePrefix="0" xfId="0">
      <protection locked="0" hidden="0"/>
    </xf>
    <xf numFmtId="166" fontId="2" fillId="0" borderId="1" pivotButton="0" quotePrefix="0" xfId="0"/>
    <xf numFmtId="0" fontId="0" fillId="0" borderId="0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7" fontId="4" fillId="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0" borderId="1" pivotButton="0" quotePrefix="0" xfId="0"/>
    <xf numFmtId="166" fontId="8" fillId="6" borderId="3" applyAlignment="1" applyProtection="1" pivotButton="0" quotePrefix="0" xfId="0">
      <alignment horizontal="center" vertical="center"/>
      <protection locked="0" hidden="0"/>
    </xf>
    <xf numFmtId="167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Calibri"/>
        <b val="1"/>
        <color rgb="00FFFFFF"/>
        <sz val="11"/>
      </font>
      <fill>
        <patternFill patternType="solid">
          <fgColor rgb="00E74C3C"/>
          <bgColor rgb="00E74C3C"/>
        </patternFill>
      </fill>
    </dxf>
    <dxf>
      <font>
        <name val="Calibri"/>
        <b val="1"/>
        <color rgb="001B2A4A"/>
        <sz val="11"/>
      </font>
      <fill>
        <patternFill patternType="solid">
          <fgColor rgb="00F1C40F"/>
          <bgColor rgb="00F1C40F"/>
        </patternFill>
      </fill>
    </dxf>
    <dxf>
      <font>
        <name val="Calibri"/>
        <b val="1"/>
        <color rgb="00FFFFFF"/>
      </font>
      <fill>
        <patternFill patternType="solid">
          <fgColor rgb="00E74C3C"/>
          <bgColor rgb="00E74C3C"/>
        </patternFill>
      </fill>
    </dxf>
    <dxf>
      <font>
        <name val="Calibri"/>
        <b val="1"/>
        <color rgb="00FFFFFF"/>
      </font>
      <fill>
        <patternFill patternType="solid">
          <fgColor rgb="00F39C12"/>
          <bgColor rgb="00F39C12"/>
        </patternFill>
      </fill>
    </dxf>
    <dxf>
      <font>
        <name val="Calibri"/>
        <b val="1"/>
        <color rgb="00FFFFFF"/>
      </font>
      <fill>
        <patternFill patternType="solid">
          <fgColor rgb="002ECC71"/>
          <bgColor rgb="002ECC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Expense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Summary'!$A$3:$A$14</f>
            </numRef>
          </cat>
          <val>
            <numRef>
              <f>'Monthly Summary'!$B$3:$B$14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Analysis'!B2</f>
            </strRef>
          </tx>
          <spPr>
            <a:ln>
              <a:prstDash val="solid"/>
            </a:ln>
          </spPr>
          <cat>
            <numRef>
              <f>'Category Analysis'!$A$3:$A$17</f>
            </numRef>
          </cat>
          <val>
            <numRef>
              <f>'Category Analysis'!$B$3:$B$17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Totals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Summary'!B2</f>
            </strRef>
          </tx>
          <spPr>
            <a:ln>
              <a:prstDash val="solid"/>
            </a:ln>
          </spPr>
          <cat>
            <numRef>
              <f>'Monthly Summary'!$A$3:$A$14</f>
            </numRef>
          </cat>
          <val>
            <numRef>
              <f>'Monthly Summary'!$B$3:$B$14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Expense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Summary'!$A$3:$A$14</f>
            </numRef>
          </cat>
          <val>
            <numRef>
              <f>'Monthly Summary'!$B$3:$B$14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Totals (Bar)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Summary'!B2</f>
            </strRef>
          </tx>
          <spPr>
            <a:ln>
              <a:prstDash val="solid"/>
            </a:ln>
          </spPr>
          <cat>
            <numRef>
              <f>'Monthly Summary'!$A$3:$A$14</f>
            </numRef>
          </cat>
          <val>
            <numRef>
              <f>'Monthly Summary'!$B$3:$B$14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Analysis'!B2</f>
            </strRef>
          </tx>
          <spPr>
            <a:ln>
              <a:prstDash val="solid"/>
            </a:ln>
          </spPr>
          <cat>
            <numRef>
              <f>'Category Analysis'!$A$3:$A$17</f>
            </numRef>
          </cat>
          <val>
            <numRef>
              <f>'Category Analysis'!$B$3:$B$17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Store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&amp; Analytics'!T2</f>
            </strRef>
          </tx>
          <spPr>
            <a:ln>
              <a:prstDash val="solid"/>
            </a:ln>
          </spPr>
          <cat>
            <numRef>
              <f>'Charts &amp; Analytics'!$S$3:$S$10</f>
            </numRef>
          </cat>
          <val>
            <numRef>
              <f>'Charts &amp; Analytics'!$T$3:$T$10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27</row>
      <rowOff>0</rowOff>
    </from>
    <ext cx="57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31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Table" displayName="ExpenseTable" ref="A1:I201" headerRowCount="1">
  <autoFilter ref="A1:I201"/>
  <tableColumns count="9">
    <tableColumn id="1" name="Date"/>
    <tableColumn id="2" name="Product Name"/>
    <tableColumn id="3" name="Category"/>
    <tableColumn id="4" name="Store Name"/>
    <tableColumn id="5" name="Quantity"/>
    <tableColumn id="6" name="Price Per Unit"/>
    <tableColumn id="7" name="Total Price"/>
    <tableColumn id="8" name="Payment Method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P12"/>
  <sheetViews>
    <sheetView zoomScale="85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50" customHeight="1">
      <c r="A1" s="1" t="inlineStr">
        <is>
          <t>Smart Personal Expense Tracker XL  |  Dashboard</t>
        </is>
      </c>
    </row>
    <row r="2" ht="22" customHeight="1">
      <c r="B2" s="2" t="inlineStr">
        <is>
          <t>MONTHLY SPENDING</t>
        </is>
      </c>
      <c r="H2" s="3" t="inlineStr">
        <is>
          <t>WEEKLY SPENDING</t>
        </is>
      </c>
      <c r="N2" s="4" t="inlineStr">
        <is>
          <t>DAILY AVERAGE</t>
        </is>
      </c>
    </row>
    <row r="3" ht="22" customHeight="1"/>
    <row r="4" ht="22" customHeight="1">
      <c r="B4" s="5">
        <f>SUMPRODUCT((MONTH('Daily Expenses'!$A$2:$A$201)=MONTH(TODAY()))*(YEAR('Daily Expenses'!$A$2:$A$201)=YEAR(TODAY()))*'Daily Expenses'!$G$2:$G$201)</f>
        <v/>
      </c>
      <c r="H4" s="6">
        <f>SUMPRODUCT(('Daily Expenses'!$A$2:$A$201&gt;=TODAY()-WEEKDAY(TODAY(),2)+1)*('Daily Expenses'!$A$2:$A$201&lt;=TODAY()-WEEKDAY(TODAY(),2)+7)*'Daily Expenses'!$G$2:$G$201)</f>
        <v/>
      </c>
      <c r="N4" s="7">
        <f>IFERROR(SUMPRODUCT(('Daily Expenses'!$G$2:$G$201&lt;&gt;"")*'Daily Expenses'!$G$2:$G$201)/SUMPRODUCT(--('Daily Expenses'!$G$2:$G$201&lt;&gt;"")),0)</f>
        <v/>
      </c>
    </row>
    <row r="5" ht="22" customHeight="1"/>
    <row r="6" ht="22" customHeight="1"/>
    <row r="7" ht="22" customHeight="1">
      <c r="B7" s="8" t="inlineStr">
        <is>
          <t>REMAINING BUDGET</t>
        </is>
      </c>
      <c r="H7" s="9" t="inlineStr">
        <is>
          <t>TOP CATEGORY</t>
        </is>
      </c>
      <c r="N7" s="10" t="inlineStr">
        <is>
          <t>TOTAL EXPENSES</t>
        </is>
      </c>
    </row>
    <row r="8" ht="22" customHeight="1"/>
    <row r="9" ht="22" customHeight="1">
      <c r="B9" s="11">
        <f>IFERROR('Budget Tracking'!B5-SUMPRODUCT((MONTH('Daily Expenses'!$A$2:$A$201)=MONTH(TODAY()))*(YEAR('Daily Expenses'!$A$2:$A$201)=YEAR(TODAY()))*'Daily Expenses'!$G$2:$G$201),0)</f>
        <v/>
      </c>
      <c r="H9" s="12">
        <f>IFERROR(INDEX('Category Analysis'!$A$3:$A$17,MATCH(MAX('Category Analysis'!$B$3:$B$17),'Category Analysis'!$B$3:$B$17,0)),"N/A")</f>
        <v/>
      </c>
      <c r="N9" s="13">
        <f>IFERROR(SUM('Daily Expenses'!$G$2:$G$201),0)</f>
        <v/>
      </c>
    </row>
    <row r="10" ht="22" customHeight="1"/>
    <row r="11" ht="10" customHeight="1"/>
    <row r="12" ht="28" customHeight="1">
      <c r="B12" s="14" t="inlineStr">
        <is>
          <t>Expense Analytics</t>
        </is>
      </c>
    </row>
  </sheetData>
  <mergeCells count="14">
    <mergeCell ref="H9:L10"/>
    <mergeCell ref="H4:L5"/>
    <mergeCell ref="N7:P8"/>
    <mergeCell ref="B12:P12"/>
    <mergeCell ref="B7:F8"/>
    <mergeCell ref="N2:P3"/>
    <mergeCell ref="A1:P1"/>
    <mergeCell ref="B2:F3"/>
    <mergeCell ref="H7:L8"/>
    <mergeCell ref="H2:L3"/>
    <mergeCell ref="N9:P10"/>
    <mergeCell ref="N4:P5"/>
    <mergeCell ref="B4:F5"/>
    <mergeCell ref="B9:F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I2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10" customWidth="1" min="5" max="5"/>
    <col width="15" customWidth="1" min="6" max="6"/>
    <col width="15" customWidth="1" min="7" max="7"/>
    <col width="17" customWidth="1" min="8" max="8"/>
    <col width="32" customWidth="1" min="9" max="9"/>
  </cols>
  <sheetData>
    <row r="1" ht="36" customHeight="1">
      <c r="A1" s="15" t="inlineStr">
        <is>
          <t>Date</t>
        </is>
      </c>
      <c r="B1" s="15" t="inlineStr">
        <is>
          <t>Product Name</t>
        </is>
      </c>
      <c r="C1" s="15" t="inlineStr">
        <is>
          <t>Category</t>
        </is>
      </c>
      <c r="D1" s="15" t="inlineStr">
        <is>
          <t>Store Name</t>
        </is>
      </c>
      <c r="E1" s="15" t="inlineStr">
        <is>
          <t>Quantity</t>
        </is>
      </c>
      <c r="F1" s="15" t="inlineStr">
        <is>
          <t>Price Per Unit</t>
        </is>
      </c>
      <c r="G1" s="15" t="inlineStr">
        <is>
          <t>Total Price</t>
        </is>
      </c>
      <c r="H1" s="15" t="inlineStr">
        <is>
          <t>Payment Method</t>
        </is>
      </c>
      <c r="I1" s="15" t="inlineStr">
        <is>
          <t>Notes</t>
        </is>
      </c>
    </row>
    <row r="2" ht="20" customHeight="1">
      <c r="A2" s="16" t="n">
        <v>45294</v>
      </c>
      <c r="B2" s="17" t="inlineStr">
        <is>
          <t>Migros Weekly Shop</t>
        </is>
      </c>
      <c r="C2" s="17" t="inlineStr">
        <is>
          <t>Food</t>
        </is>
      </c>
      <c r="D2" s="17" t="inlineStr">
        <is>
          <t>Migros</t>
        </is>
      </c>
      <c r="E2" s="17" t="n">
        <v>1</v>
      </c>
      <c r="F2" s="18" t="n">
        <v>87.5</v>
      </c>
      <c r="G2" s="19">
        <f>IF(OR(E2="",F2=""),"",E2*F2)</f>
        <v/>
      </c>
      <c r="H2" s="17" t="inlineStr">
        <is>
          <t>Card</t>
        </is>
      </c>
      <c r="I2" s="17" t="inlineStr">
        <is>
          <t>Weekly groceries</t>
        </is>
      </c>
    </row>
    <row r="3" ht="20" customHeight="1">
      <c r="A3" s="20" t="n">
        <v>45296</v>
      </c>
      <c r="B3" s="21" t="inlineStr">
        <is>
          <t>SBB Monthly Pass</t>
        </is>
      </c>
      <c r="C3" s="21" t="inlineStr">
        <is>
          <t>Transport</t>
        </is>
      </c>
      <c r="D3" s="21" t="inlineStr">
        <is>
          <t>SBB</t>
        </is>
      </c>
      <c r="E3" s="21" t="n">
        <v>1</v>
      </c>
      <c r="F3" s="22" t="n">
        <v>86</v>
      </c>
      <c r="G3" s="23">
        <f>IF(OR(E3="",F3=""),"",E3*F3)</f>
        <v/>
      </c>
      <c r="H3" s="21" t="inlineStr">
        <is>
          <t>Bank Transfer</t>
        </is>
      </c>
      <c r="I3" s="21" t="inlineStr">
        <is>
          <t>Public transport</t>
        </is>
      </c>
    </row>
    <row r="4" ht="20" customHeight="1">
      <c r="A4" s="16" t="n">
        <v>45298</v>
      </c>
      <c r="B4" s="17" t="inlineStr">
        <is>
          <t>Chicken Breast 1kg</t>
        </is>
      </c>
      <c r="C4" s="17" t="inlineStr">
        <is>
          <t>Meat</t>
        </is>
      </c>
      <c r="D4" s="17" t="inlineStr">
        <is>
          <t>Coop</t>
        </is>
      </c>
      <c r="E4" s="17" t="n">
        <v>2</v>
      </c>
      <c r="F4" s="18" t="n">
        <v>12.9</v>
      </c>
      <c r="G4" s="19">
        <f>IF(OR(E4="",F4=""),"",E4*F4)</f>
        <v/>
      </c>
      <c r="H4" s="17" t="inlineStr">
        <is>
          <t>Card</t>
        </is>
      </c>
      <c r="I4" s="17" t="inlineStr">
        <is>
          <t>Protein source</t>
        </is>
      </c>
    </row>
    <row r="5" ht="20" customHeight="1">
      <c r="A5" s="20" t="n">
        <v>45300</v>
      </c>
      <c r="B5" s="21" t="inlineStr">
        <is>
          <t>Protein Powder</t>
        </is>
      </c>
      <c r="C5" s="21" t="inlineStr">
        <is>
          <t>Supplements</t>
        </is>
      </c>
      <c r="D5" s="21" t="inlineStr">
        <is>
          <t>Sportxx</t>
        </is>
      </c>
      <c r="E5" s="21" t="n">
        <v>1</v>
      </c>
      <c r="F5" s="22" t="n">
        <v>49.9</v>
      </c>
      <c r="G5" s="23">
        <f>IF(OR(E5="",F5=""),"",E5*F5)</f>
        <v/>
      </c>
      <c r="H5" s="21" t="inlineStr">
        <is>
          <t>Card</t>
        </is>
      </c>
      <c r="I5" s="21" t="inlineStr">
        <is>
          <t>Whey protein</t>
        </is>
      </c>
    </row>
    <row r="6" ht="20" customHeight="1">
      <c r="A6" s="16" t="n">
        <v>45301</v>
      </c>
      <c r="B6" s="17" t="inlineStr">
        <is>
          <t>Pharmacy Visit</t>
        </is>
      </c>
      <c r="C6" s="17" t="inlineStr">
        <is>
          <t>Health</t>
        </is>
      </c>
      <c r="D6" s="17" t="inlineStr">
        <is>
          <t>Apotheke</t>
        </is>
      </c>
      <c r="E6" s="17" t="n">
        <v>1</v>
      </c>
      <c r="F6" s="18" t="n">
        <v>23.4</v>
      </c>
      <c r="G6" s="19">
        <f>IF(OR(E6="",F6=""),"",E6*F6)</f>
        <v/>
      </c>
      <c r="H6" s="17" t="inlineStr">
        <is>
          <t>Cash</t>
        </is>
      </c>
      <c r="I6" s="17" t="inlineStr">
        <is>
          <t>Cold medicine</t>
        </is>
      </c>
    </row>
    <row r="7" ht="20" customHeight="1">
      <c r="A7" s="20" t="n">
        <v>45303</v>
      </c>
      <c r="B7" s="21" t="inlineStr">
        <is>
          <t>Netflix</t>
        </is>
      </c>
      <c r="C7" s="21" t="inlineStr">
        <is>
          <t>Entertainment</t>
        </is>
      </c>
      <c r="D7" s="21" t="inlineStr">
        <is>
          <t>Netflix</t>
        </is>
      </c>
      <c r="E7" s="21" t="n">
        <v>1</v>
      </c>
      <c r="F7" s="22" t="n">
        <v>17.9</v>
      </c>
      <c r="G7" s="23">
        <f>IF(OR(E7="",F7=""),"",E7*F7)</f>
        <v/>
      </c>
      <c r="H7" s="21" t="inlineStr">
        <is>
          <t>Card</t>
        </is>
      </c>
      <c r="I7" s="21" t="inlineStr">
        <is>
          <t>Monthly sub</t>
        </is>
      </c>
    </row>
    <row r="8" ht="20" customHeight="1">
      <c r="A8" s="16" t="n">
        <v>45305</v>
      </c>
      <c r="B8" s="17" t="inlineStr">
        <is>
          <t>Fresh Vegetables</t>
        </is>
      </c>
      <c r="C8" s="17" t="inlineStr">
        <is>
          <t>Vegetables</t>
        </is>
      </c>
      <c r="D8" s="17" t="inlineStr">
        <is>
          <t>Coop</t>
        </is>
      </c>
      <c r="E8" s="17" t="n">
        <v>1</v>
      </c>
      <c r="F8" s="18" t="n">
        <v>18.6</v>
      </c>
      <c r="G8" s="19">
        <f>IF(OR(E8="",F8=""),"",E8*F8)</f>
        <v/>
      </c>
      <c r="H8" s="17" t="inlineStr">
        <is>
          <t>Card</t>
        </is>
      </c>
      <c r="I8" s="17" t="inlineStr">
        <is>
          <t>Weekly veg</t>
        </is>
      </c>
    </row>
    <row r="9" ht="20" customHeight="1">
      <c r="A9" s="20" t="n">
        <v>45307</v>
      </c>
      <c r="B9" s="21" t="inlineStr">
        <is>
          <t>iPhone Cable</t>
        </is>
      </c>
      <c r="C9" s="21" t="inlineStr">
        <is>
          <t>Electronics</t>
        </is>
      </c>
      <c r="D9" s="21" t="inlineStr">
        <is>
          <t>Media Markt</t>
        </is>
      </c>
      <c r="E9" s="21" t="n">
        <v>1</v>
      </c>
      <c r="F9" s="22" t="n">
        <v>29</v>
      </c>
      <c r="G9" s="23">
        <f>IF(OR(E9="",F9=""),"",E9*F9)</f>
        <v/>
      </c>
      <c r="H9" s="21" t="inlineStr">
        <is>
          <t>Card</t>
        </is>
      </c>
      <c r="I9" s="21" t="inlineStr">
        <is>
          <t>Replacement</t>
        </is>
      </c>
    </row>
    <row r="10" ht="20" customHeight="1">
      <c r="A10" s="16" t="n">
        <v>45309</v>
      </c>
      <c r="B10" s="17" t="inlineStr">
        <is>
          <t>Gym Membership</t>
        </is>
      </c>
      <c r="C10" s="17" t="inlineStr">
        <is>
          <t>Health</t>
        </is>
      </c>
      <c r="D10" s="17" t="inlineStr">
        <is>
          <t>Fitness Park</t>
        </is>
      </c>
      <c r="E10" s="17" t="n">
        <v>1</v>
      </c>
      <c r="F10" s="18" t="n">
        <v>65</v>
      </c>
      <c r="G10" s="19">
        <f>IF(OR(E10="",F10=""),"",E10*F10)</f>
        <v/>
      </c>
      <c r="H10" s="17" t="inlineStr">
        <is>
          <t>Bank Transfer</t>
        </is>
      </c>
      <c r="I10" s="17" t="inlineStr">
        <is>
          <t>Monthly fee</t>
        </is>
      </c>
    </row>
    <row r="11" ht="20" customHeight="1">
      <c r="A11" s="20" t="n">
        <v>45311</v>
      </c>
      <c r="B11" s="21" t="inlineStr">
        <is>
          <t>Red Bull 4-pack</t>
        </is>
      </c>
      <c r="C11" s="21" t="inlineStr">
        <is>
          <t>Drinks</t>
        </is>
      </c>
      <c r="D11" s="21" t="inlineStr">
        <is>
          <t>Migros</t>
        </is>
      </c>
      <c r="E11" s="21" t="n">
        <v>2</v>
      </c>
      <c r="F11" s="22" t="n">
        <v>6.5</v>
      </c>
      <c r="G11" s="23">
        <f>IF(OR(E11="",F11=""),"",E11*F11)</f>
        <v/>
      </c>
      <c r="H11" s="21" t="inlineStr">
        <is>
          <t>Cash</t>
        </is>
      </c>
      <c r="I11" s="21" t="inlineStr">
        <is>
          <t>Energy drinks</t>
        </is>
      </c>
    </row>
    <row r="12">
      <c r="A12" s="24" t="n"/>
      <c r="B12" s="24" t="n"/>
      <c r="C12" s="24" t="n"/>
      <c r="D12" s="24" t="n"/>
      <c r="E12" s="24" t="n"/>
      <c r="F12" s="24" t="n"/>
      <c r="G12" s="19">
        <f>IF(OR(E12="",F12=""),"",E12*F12)</f>
        <v/>
      </c>
      <c r="H12" s="24" t="n"/>
      <c r="I12" s="24" t="n"/>
    </row>
    <row r="13">
      <c r="A13" s="24" t="n"/>
      <c r="B13" s="24" t="n"/>
      <c r="C13" s="24" t="n"/>
      <c r="D13" s="24" t="n"/>
      <c r="E13" s="24" t="n"/>
      <c r="F13" s="24" t="n"/>
      <c r="G13" s="23">
        <f>IF(OR(E13="",F13=""),"",E13*F13)</f>
        <v/>
      </c>
      <c r="H13" s="24" t="n"/>
      <c r="I13" s="24" t="n"/>
    </row>
    <row r="14">
      <c r="A14" s="24" t="n"/>
      <c r="B14" s="24" t="n"/>
      <c r="C14" s="24" t="n"/>
      <c r="D14" s="24" t="n"/>
      <c r="E14" s="24" t="n"/>
      <c r="F14" s="24" t="n"/>
      <c r="G14" s="19">
        <f>IF(OR(E14="",F14=""),"",E14*F14)</f>
        <v/>
      </c>
      <c r="H14" s="24" t="n"/>
      <c r="I14" s="24" t="n"/>
    </row>
    <row r="15">
      <c r="A15" s="24" t="n"/>
      <c r="B15" s="24" t="n"/>
      <c r="C15" s="24" t="n"/>
      <c r="D15" s="24" t="n"/>
      <c r="E15" s="24" t="n"/>
      <c r="F15" s="24" t="n"/>
      <c r="G15" s="23">
        <f>IF(OR(E15="",F15=""),"",E15*F15)</f>
        <v/>
      </c>
      <c r="H15" s="24" t="n"/>
      <c r="I15" s="24" t="n"/>
    </row>
    <row r="16">
      <c r="A16" s="24" t="n"/>
      <c r="B16" s="24" t="n"/>
      <c r="C16" s="24" t="n"/>
      <c r="D16" s="24" t="n"/>
      <c r="E16" s="24" t="n"/>
      <c r="F16" s="24" t="n"/>
      <c r="G16" s="19">
        <f>IF(OR(E16="",F16=""),"",E16*F16)</f>
        <v/>
      </c>
      <c r="H16" s="24" t="n"/>
      <c r="I16" s="24" t="n"/>
    </row>
    <row r="17">
      <c r="A17" s="24" t="n"/>
      <c r="B17" s="24" t="n"/>
      <c r="C17" s="24" t="n"/>
      <c r="D17" s="24" t="n"/>
      <c r="E17" s="24" t="n"/>
      <c r="F17" s="24" t="n"/>
      <c r="G17" s="23">
        <f>IF(OR(E17="",F17=""),"",E17*F17)</f>
        <v/>
      </c>
      <c r="H17" s="24" t="n"/>
      <c r="I17" s="24" t="n"/>
    </row>
    <row r="18">
      <c r="A18" s="24" t="n"/>
      <c r="B18" s="24" t="n"/>
      <c r="C18" s="24" t="n"/>
      <c r="D18" s="24" t="n"/>
      <c r="E18" s="24" t="n"/>
      <c r="F18" s="24" t="n"/>
      <c r="G18" s="19">
        <f>IF(OR(E18="",F18=""),"",E18*F18)</f>
        <v/>
      </c>
      <c r="H18" s="24" t="n"/>
      <c r="I18" s="24" t="n"/>
    </row>
    <row r="19">
      <c r="A19" s="24" t="n"/>
      <c r="B19" s="24" t="n"/>
      <c r="C19" s="24" t="n"/>
      <c r="D19" s="24" t="n"/>
      <c r="E19" s="24" t="n"/>
      <c r="F19" s="24" t="n"/>
      <c r="G19" s="23">
        <f>IF(OR(E19="",F19=""),"",E19*F19)</f>
        <v/>
      </c>
      <c r="H19" s="24" t="n"/>
      <c r="I19" s="24" t="n"/>
    </row>
    <row r="20">
      <c r="A20" s="24" t="n"/>
      <c r="B20" s="24" t="n"/>
      <c r="C20" s="24" t="n"/>
      <c r="D20" s="24" t="n"/>
      <c r="E20" s="24" t="n"/>
      <c r="F20" s="24" t="n"/>
      <c r="G20" s="19">
        <f>IF(OR(E20="",F20=""),"",E20*F20)</f>
        <v/>
      </c>
      <c r="H20" s="24" t="n"/>
      <c r="I20" s="24" t="n"/>
    </row>
    <row r="21">
      <c r="A21" s="24" t="n"/>
      <c r="B21" s="24" t="n"/>
      <c r="C21" s="24" t="n"/>
      <c r="D21" s="24" t="n"/>
      <c r="E21" s="24" t="n"/>
      <c r="F21" s="24" t="n"/>
      <c r="G21" s="23">
        <f>IF(OR(E21="",F21=""),"",E21*F21)</f>
        <v/>
      </c>
      <c r="H21" s="24" t="n"/>
      <c r="I21" s="24" t="n"/>
    </row>
    <row r="22">
      <c r="A22" s="24" t="n"/>
      <c r="B22" s="24" t="n"/>
      <c r="C22" s="24" t="n"/>
      <c r="D22" s="24" t="n"/>
      <c r="E22" s="24" t="n"/>
      <c r="F22" s="24" t="n"/>
      <c r="G22" s="19">
        <f>IF(OR(E22="",F22=""),"",E22*F22)</f>
        <v/>
      </c>
      <c r="H22" s="24" t="n"/>
      <c r="I22" s="24" t="n"/>
    </row>
    <row r="23">
      <c r="A23" s="24" t="n"/>
      <c r="B23" s="24" t="n"/>
      <c r="C23" s="24" t="n"/>
      <c r="D23" s="24" t="n"/>
      <c r="E23" s="24" t="n"/>
      <c r="F23" s="24" t="n"/>
      <c r="G23" s="23">
        <f>IF(OR(E23="",F23=""),"",E23*F23)</f>
        <v/>
      </c>
      <c r="H23" s="24" t="n"/>
      <c r="I23" s="24" t="n"/>
    </row>
    <row r="24">
      <c r="A24" s="24" t="n"/>
      <c r="B24" s="24" t="n"/>
      <c r="C24" s="24" t="n"/>
      <c r="D24" s="24" t="n"/>
      <c r="E24" s="24" t="n"/>
      <c r="F24" s="24" t="n"/>
      <c r="G24" s="19">
        <f>IF(OR(E24="",F24=""),"",E24*F24)</f>
        <v/>
      </c>
      <c r="H24" s="24" t="n"/>
      <c r="I24" s="24" t="n"/>
    </row>
    <row r="25">
      <c r="A25" s="24" t="n"/>
      <c r="B25" s="24" t="n"/>
      <c r="C25" s="24" t="n"/>
      <c r="D25" s="24" t="n"/>
      <c r="E25" s="24" t="n"/>
      <c r="F25" s="24" t="n"/>
      <c r="G25" s="23">
        <f>IF(OR(E25="",F25=""),"",E25*F25)</f>
        <v/>
      </c>
      <c r="H25" s="24" t="n"/>
      <c r="I25" s="24" t="n"/>
    </row>
    <row r="26">
      <c r="A26" s="24" t="n"/>
      <c r="B26" s="24" t="n"/>
      <c r="C26" s="24" t="n"/>
      <c r="D26" s="24" t="n"/>
      <c r="E26" s="24" t="n"/>
      <c r="F26" s="24" t="n"/>
      <c r="G26" s="19">
        <f>IF(OR(E26="",F26=""),"",E26*F26)</f>
        <v/>
      </c>
      <c r="H26" s="24" t="n"/>
      <c r="I26" s="24" t="n"/>
    </row>
    <row r="27">
      <c r="A27" s="24" t="n"/>
      <c r="B27" s="24" t="n"/>
      <c r="C27" s="24" t="n"/>
      <c r="D27" s="24" t="n"/>
      <c r="E27" s="24" t="n"/>
      <c r="F27" s="24" t="n"/>
      <c r="G27" s="23">
        <f>IF(OR(E27="",F27=""),"",E27*F27)</f>
        <v/>
      </c>
      <c r="H27" s="24" t="n"/>
      <c r="I27" s="24" t="n"/>
    </row>
    <row r="28">
      <c r="A28" s="24" t="n"/>
      <c r="B28" s="24" t="n"/>
      <c r="C28" s="24" t="n"/>
      <c r="D28" s="24" t="n"/>
      <c r="E28" s="24" t="n"/>
      <c r="F28" s="24" t="n"/>
      <c r="G28" s="19">
        <f>IF(OR(E28="",F28=""),"",E28*F28)</f>
        <v/>
      </c>
      <c r="H28" s="24" t="n"/>
      <c r="I28" s="24" t="n"/>
    </row>
    <row r="29">
      <c r="A29" s="24" t="n"/>
      <c r="B29" s="24" t="n"/>
      <c r="C29" s="24" t="n"/>
      <c r="D29" s="24" t="n"/>
      <c r="E29" s="24" t="n"/>
      <c r="F29" s="24" t="n"/>
      <c r="G29" s="23">
        <f>IF(OR(E29="",F29=""),"",E29*F29)</f>
        <v/>
      </c>
      <c r="H29" s="24" t="n"/>
      <c r="I29" s="24" t="n"/>
    </row>
    <row r="30">
      <c r="A30" s="24" t="n"/>
      <c r="B30" s="24" t="n"/>
      <c r="C30" s="24" t="n"/>
      <c r="D30" s="24" t="n"/>
      <c r="E30" s="24" t="n"/>
      <c r="F30" s="24" t="n"/>
      <c r="G30" s="19">
        <f>IF(OR(E30="",F30=""),"",E30*F30)</f>
        <v/>
      </c>
      <c r="H30" s="24" t="n"/>
      <c r="I30" s="24" t="n"/>
    </row>
    <row r="31">
      <c r="A31" s="24" t="n"/>
      <c r="B31" s="24" t="n"/>
      <c r="C31" s="24" t="n"/>
      <c r="D31" s="24" t="n"/>
      <c r="E31" s="24" t="n"/>
      <c r="F31" s="24" t="n"/>
      <c r="G31" s="23">
        <f>IF(OR(E31="",F31=""),"",E31*F31)</f>
        <v/>
      </c>
      <c r="H31" s="24" t="n"/>
      <c r="I31" s="24" t="n"/>
    </row>
    <row r="32">
      <c r="A32" s="24" t="n"/>
      <c r="B32" s="24" t="n"/>
      <c r="C32" s="24" t="n"/>
      <c r="D32" s="24" t="n"/>
      <c r="E32" s="24" t="n"/>
      <c r="F32" s="24" t="n"/>
      <c r="G32" s="19">
        <f>IF(OR(E32="",F32=""),"",E32*F32)</f>
        <v/>
      </c>
      <c r="H32" s="24" t="n"/>
      <c r="I32" s="24" t="n"/>
    </row>
    <row r="33">
      <c r="A33" s="24" t="n"/>
      <c r="B33" s="24" t="n"/>
      <c r="C33" s="24" t="n"/>
      <c r="D33" s="24" t="n"/>
      <c r="E33" s="24" t="n"/>
      <c r="F33" s="24" t="n"/>
      <c r="G33" s="23">
        <f>IF(OR(E33="",F33=""),"",E33*F33)</f>
        <v/>
      </c>
      <c r="H33" s="24" t="n"/>
      <c r="I33" s="24" t="n"/>
    </row>
    <row r="34">
      <c r="A34" s="24" t="n"/>
      <c r="B34" s="24" t="n"/>
      <c r="C34" s="24" t="n"/>
      <c r="D34" s="24" t="n"/>
      <c r="E34" s="24" t="n"/>
      <c r="F34" s="24" t="n"/>
      <c r="G34" s="19">
        <f>IF(OR(E34="",F34=""),"",E34*F34)</f>
        <v/>
      </c>
      <c r="H34" s="24" t="n"/>
      <c r="I34" s="24" t="n"/>
    </row>
    <row r="35">
      <c r="A35" s="24" t="n"/>
      <c r="B35" s="24" t="n"/>
      <c r="C35" s="24" t="n"/>
      <c r="D35" s="24" t="n"/>
      <c r="E35" s="24" t="n"/>
      <c r="F35" s="24" t="n"/>
      <c r="G35" s="23">
        <f>IF(OR(E35="",F35=""),"",E35*F35)</f>
        <v/>
      </c>
      <c r="H35" s="24" t="n"/>
      <c r="I35" s="24" t="n"/>
    </row>
    <row r="36">
      <c r="A36" s="24" t="n"/>
      <c r="B36" s="24" t="n"/>
      <c r="C36" s="24" t="n"/>
      <c r="D36" s="24" t="n"/>
      <c r="E36" s="24" t="n"/>
      <c r="F36" s="24" t="n"/>
      <c r="G36" s="19">
        <f>IF(OR(E36="",F36=""),"",E36*F36)</f>
        <v/>
      </c>
      <c r="H36" s="24" t="n"/>
      <c r="I36" s="24" t="n"/>
    </row>
    <row r="37">
      <c r="A37" s="24" t="n"/>
      <c r="B37" s="24" t="n"/>
      <c r="C37" s="24" t="n"/>
      <c r="D37" s="24" t="n"/>
      <c r="E37" s="24" t="n"/>
      <c r="F37" s="24" t="n"/>
      <c r="G37" s="23">
        <f>IF(OR(E37="",F37=""),"",E37*F37)</f>
        <v/>
      </c>
      <c r="H37" s="24" t="n"/>
      <c r="I37" s="24" t="n"/>
    </row>
    <row r="38">
      <c r="A38" s="24" t="n"/>
      <c r="B38" s="24" t="n"/>
      <c r="C38" s="24" t="n"/>
      <c r="D38" s="24" t="n"/>
      <c r="E38" s="24" t="n"/>
      <c r="F38" s="24" t="n"/>
      <c r="G38" s="19">
        <f>IF(OR(E38="",F38=""),"",E38*F38)</f>
        <v/>
      </c>
      <c r="H38" s="24" t="n"/>
      <c r="I38" s="24" t="n"/>
    </row>
    <row r="39">
      <c r="A39" s="24" t="n"/>
      <c r="B39" s="24" t="n"/>
      <c r="C39" s="24" t="n"/>
      <c r="D39" s="24" t="n"/>
      <c r="E39" s="24" t="n"/>
      <c r="F39" s="24" t="n"/>
      <c r="G39" s="23">
        <f>IF(OR(E39="",F39=""),"",E39*F39)</f>
        <v/>
      </c>
      <c r="H39" s="24" t="n"/>
      <c r="I39" s="24" t="n"/>
    </row>
    <row r="40">
      <c r="A40" s="24" t="n"/>
      <c r="B40" s="24" t="n"/>
      <c r="C40" s="24" t="n"/>
      <c r="D40" s="24" t="n"/>
      <c r="E40" s="24" t="n"/>
      <c r="F40" s="24" t="n"/>
      <c r="G40" s="19">
        <f>IF(OR(E40="",F40=""),"",E40*F40)</f>
        <v/>
      </c>
      <c r="H40" s="24" t="n"/>
      <c r="I40" s="24" t="n"/>
    </row>
    <row r="41">
      <c r="A41" s="24" t="n"/>
      <c r="B41" s="24" t="n"/>
      <c r="C41" s="24" t="n"/>
      <c r="D41" s="24" t="n"/>
      <c r="E41" s="24" t="n"/>
      <c r="F41" s="24" t="n"/>
      <c r="G41" s="23">
        <f>IF(OR(E41="",F41=""),"",E41*F41)</f>
        <v/>
      </c>
      <c r="H41" s="24" t="n"/>
      <c r="I41" s="24" t="n"/>
    </row>
    <row r="42">
      <c r="A42" s="24" t="n"/>
      <c r="B42" s="24" t="n"/>
      <c r="C42" s="24" t="n"/>
      <c r="D42" s="24" t="n"/>
      <c r="E42" s="24" t="n"/>
      <c r="F42" s="24" t="n"/>
      <c r="G42" s="19">
        <f>IF(OR(E42="",F42=""),"",E42*F42)</f>
        <v/>
      </c>
      <c r="H42" s="24" t="n"/>
      <c r="I42" s="24" t="n"/>
    </row>
    <row r="43">
      <c r="A43" s="24" t="n"/>
      <c r="B43" s="24" t="n"/>
      <c r="C43" s="24" t="n"/>
      <c r="D43" s="24" t="n"/>
      <c r="E43" s="24" t="n"/>
      <c r="F43" s="24" t="n"/>
      <c r="G43" s="23">
        <f>IF(OR(E43="",F43=""),"",E43*F43)</f>
        <v/>
      </c>
      <c r="H43" s="24" t="n"/>
      <c r="I43" s="24" t="n"/>
    </row>
    <row r="44">
      <c r="A44" s="24" t="n"/>
      <c r="B44" s="24" t="n"/>
      <c r="C44" s="24" t="n"/>
      <c r="D44" s="24" t="n"/>
      <c r="E44" s="24" t="n"/>
      <c r="F44" s="24" t="n"/>
      <c r="G44" s="19">
        <f>IF(OR(E44="",F44=""),"",E44*F44)</f>
        <v/>
      </c>
      <c r="H44" s="24" t="n"/>
      <c r="I44" s="24" t="n"/>
    </row>
    <row r="45">
      <c r="A45" s="24" t="n"/>
      <c r="B45" s="24" t="n"/>
      <c r="C45" s="24" t="n"/>
      <c r="D45" s="24" t="n"/>
      <c r="E45" s="24" t="n"/>
      <c r="F45" s="24" t="n"/>
      <c r="G45" s="23">
        <f>IF(OR(E45="",F45=""),"",E45*F45)</f>
        <v/>
      </c>
      <c r="H45" s="24" t="n"/>
      <c r="I45" s="24" t="n"/>
    </row>
    <row r="46">
      <c r="A46" s="24" t="n"/>
      <c r="B46" s="24" t="n"/>
      <c r="C46" s="24" t="n"/>
      <c r="D46" s="24" t="n"/>
      <c r="E46" s="24" t="n"/>
      <c r="F46" s="24" t="n"/>
      <c r="G46" s="19">
        <f>IF(OR(E46="",F46=""),"",E46*F46)</f>
        <v/>
      </c>
      <c r="H46" s="24" t="n"/>
      <c r="I46" s="24" t="n"/>
    </row>
    <row r="47">
      <c r="A47" s="24" t="n"/>
      <c r="B47" s="24" t="n"/>
      <c r="C47" s="24" t="n"/>
      <c r="D47" s="24" t="n"/>
      <c r="E47" s="24" t="n"/>
      <c r="F47" s="24" t="n"/>
      <c r="G47" s="23">
        <f>IF(OR(E47="",F47=""),"",E47*F47)</f>
        <v/>
      </c>
      <c r="H47" s="24" t="n"/>
      <c r="I47" s="24" t="n"/>
    </row>
    <row r="48">
      <c r="A48" s="24" t="n"/>
      <c r="B48" s="24" t="n"/>
      <c r="C48" s="24" t="n"/>
      <c r="D48" s="24" t="n"/>
      <c r="E48" s="24" t="n"/>
      <c r="F48" s="24" t="n"/>
      <c r="G48" s="19">
        <f>IF(OR(E48="",F48=""),"",E48*F48)</f>
        <v/>
      </c>
      <c r="H48" s="24" t="n"/>
      <c r="I48" s="24" t="n"/>
    </row>
    <row r="49">
      <c r="A49" s="24" t="n"/>
      <c r="B49" s="24" t="n"/>
      <c r="C49" s="24" t="n"/>
      <c r="D49" s="24" t="n"/>
      <c r="E49" s="24" t="n"/>
      <c r="F49" s="24" t="n"/>
      <c r="G49" s="23">
        <f>IF(OR(E49="",F49=""),"",E49*F49)</f>
        <v/>
      </c>
      <c r="H49" s="24" t="n"/>
      <c r="I49" s="24" t="n"/>
    </row>
    <row r="50">
      <c r="A50" s="24" t="n"/>
      <c r="B50" s="24" t="n"/>
      <c r="C50" s="24" t="n"/>
      <c r="D50" s="24" t="n"/>
      <c r="E50" s="24" t="n"/>
      <c r="F50" s="24" t="n"/>
      <c r="G50" s="19">
        <f>IF(OR(E50="",F50=""),"",E50*F50)</f>
        <v/>
      </c>
      <c r="H50" s="24" t="n"/>
      <c r="I50" s="24" t="n"/>
    </row>
    <row r="51">
      <c r="A51" s="24" t="n"/>
      <c r="B51" s="24" t="n"/>
      <c r="C51" s="24" t="n"/>
      <c r="D51" s="24" t="n"/>
      <c r="E51" s="24" t="n"/>
      <c r="F51" s="24" t="n"/>
      <c r="G51" s="23">
        <f>IF(OR(E51="",F51=""),"",E51*F51)</f>
        <v/>
      </c>
      <c r="H51" s="24" t="n"/>
      <c r="I51" s="24" t="n"/>
    </row>
    <row r="52">
      <c r="A52" s="24" t="n"/>
      <c r="B52" s="24" t="n"/>
      <c r="C52" s="24" t="n"/>
      <c r="D52" s="24" t="n"/>
      <c r="E52" s="24" t="n"/>
      <c r="F52" s="24" t="n"/>
      <c r="G52" s="19">
        <f>IF(OR(E52="",F52=""),"",E52*F52)</f>
        <v/>
      </c>
      <c r="H52" s="24" t="n"/>
      <c r="I52" s="24" t="n"/>
    </row>
    <row r="53">
      <c r="A53" s="24" t="n"/>
      <c r="B53" s="24" t="n"/>
      <c r="C53" s="24" t="n"/>
      <c r="D53" s="24" t="n"/>
      <c r="E53" s="24" t="n"/>
      <c r="F53" s="24" t="n"/>
      <c r="G53" s="23">
        <f>IF(OR(E53="",F53=""),"",E53*F53)</f>
        <v/>
      </c>
      <c r="H53" s="24" t="n"/>
      <c r="I53" s="24" t="n"/>
    </row>
    <row r="54">
      <c r="A54" s="24" t="n"/>
      <c r="B54" s="24" t="n"/>
      <c r="C54" s="24" t="n"/>
      <c r="D54" s="24" t="n"/>
      <c r="E54" s="24" t="n"/>
      <c r="F54" s="24" t="n"/>
      <c r="G54" s="19">
        <f>IF(OR(E54="",F54=""),"",E54*F54)</f>
        <v/>
      </c>
      <c r="H54" s="24" t="n"/>
      <c r="I54" s="24" t="n"/>
    </row>
    <row r="55">
      <c r="A55" s="24" t="n"/>
      <c r="B55" s="24" t="n"/>
      <c r="C55" s="24" t="n"/>
      <c r="D55" s="24" t="n"/>
      <c r="E55" s="24" t="n"/>
      <c r="F55" s="24" t="n"/>
      <c r="G55" s="23">
        <f>IF(OR(E55="",F55=""),"",E55*F55)</f>
        <v/>
      </c>
      <c r="H55" s="24" t="n"/>
      <c r="I55" s="24" t="n"/>
    </row>
    <row r="56">
      <c r="A56" s="24" t="n"/>
      <c r="B56" s="24" t="n"/>
      <c r="C56" s="24" t="n"/>
      <c r="D56" s="24" t="n"/>
      <c r="E56" s="24" t="n"/>
      <c r="F56" s="24" t="n"/>
      <c r="G56" s="19">
        <f>IF(OR(E56="",F56=""),"",E56*F56)</f>
        <v/>
      </c>
      <c r="H56" s="24" t="n"/>
      <c r="I56" s="24" t="n"/>
    </row>
    <row r="57">
      <c r="A57" s="24" t="n"/>
      <c r="B57" s="24" t="n"/>
      <c r="C57" s="24" t="n"/>
      <c r="D57" s="24" t="n"/>
      <c r="E57" s="24" t="n"/>
      <c r="F57" s="24" t="n"/>
      <c r="G57" s="23">
        <f>IF(OR(E57="",F57=""),"",E57*F57)</f>
        <v/>
      </c>
      <c r="H57" s="24" t="n"/>
      <c r="I57" s="24" t="n"/>
    </row>
    <row r="58">
      <c r="A58" s="24" t="n"/>
      <c r="B58" s="24" t="n"/>
      <c r="C58" s="24" t="n"/>
      <c r="D58" s="24" t="n"/>
      <c r="E58" s="24" t="n"/>
      <c r="F58" s="24" t="n"/>
      <c r="G58" s="19">
        <f>IF(OR(E58="",F58=""),"",E58*F58)</f>
        <v/>
      </c>
      <c r="H58" s="24" t="n"/>
      <c r="I58" s="24" t="n"/>
    </row>
    <row r="59">
      <c r="A59" s="24" t="n"/>
      <c r="B59" s="24" t="n"/>
      <c r="C59" s="24" t="n"/>
      <c r="D59" s="24" t="n"/>
      <c r="E59" s="24" t="n"/>
      <c r="F59" s="24" t="n"/>
      <c r="G59" s="23">
        <f>IF(OR(E59="",F59=""),"",E59*F59)</f>
        <v/>
      </c>
      <c r="H59" s="24" t="n"/>
      <c r="I59" s="24" t="n"/>
    </row>
    <row r="60">
      <c r="A60" s="24" t="n"/>
      <c r="B60" s="24" t="n"/>
      <c r="C60" s="24" t="n"/>
      <c r="D60" s="24" t="n"/>
      <c r="E60" s="24" t="n"/>
      <c r="F60" s="24" t="n"/>
      <c r="G60" s="19">
        <f>IF(OR(E60="",F60=""),"",E60*F60)</f>
        <v/>
      </c>
      <c r="H60" s="24" t="n"/>
      <c r="I60" s="24" t="n"/>
    </row>
    <row r="61">
      <c r="A61" s="24" t="n"/>
      <c r="B61" s="24" t="n"/>
      <c r="C61" s="24" t="n"/>
      <c r="D61" s="24" t="n"/>
      <c r="E61" s="24" t="n"/>
      <c r="F61" s="24" t="n"/>
      <c r="G61" s="23">
        <f>IF(OR(E61="",F61=""),"",E61*F61)</f>
        <v/>
      </c>
      <c r="H61" s="24" t="n"/>
      <c r="I61" s="24" t="n"/>
    </row>
    <row r="62">
      <c r="A62" s="24" t="n"/>
      <c r="B62" s="24" t="n"/>
      <c r="C62" s="24" t="n"/>
      <c r="D62" s="24" t="n"/>
      <c r="E62" s="24" t="n"/>
      <c r="F62" s="24" t="n"/>
      <c r="G62" s="19">
        <f>IF(OR(E62="",F62=""),"",E62*F62)</f>
        <v/>
      </c>
      <c r="H62" s="24" t="n"/>
      <c r="I62" s="24" t="n"/>
    </row>
    <row r="63">
      <c r="A63" s="24" t="n"/>
      <c r="B63" s="24" t="n"/>
      <c r="C63" s="24" t="n"/>
      <c r="D63" s="24" t="n"/>
      <c r="E63" s="24" t="n"/>
      <c r="F63" s="24" t="n"/>
      <c r="G63" s="23">
        <f>IF(OR(E63="",F63=""),"",E63*F63)</f>
        <v/>
      </c>
      <c r="H63" s="24" t="n"/>
      <c r="I63" s="24" t="n"/>
    </row>
    <row r="64">
      <c r="A64" s="24" t="n"/>
      <c r="B64" s="24" t="n"/>
      <c r="C64" s="24" t="n"/>
      <c r="D64" s="24" t="n"/>
      <c r="E64" s="24" t="n"/>
      <c r="F64" s="24" t="n"/>
      <c r="G64" s="19">
        <f>IF(OR(E64="",F64=""),"",E64*F64)</f>
        <v/>
      </c>
      <c r="H64" s="24" t="n"/>
      <c r="I64" s="24" t="n"/>
    </row>
    <row r="65">
      <c r="A65" s="24" t="n"/>
      <c r="B65" s="24" t="n"/>
      <c r="C65" s="24" t="n"/>
      <c r="D65" s="24" t="n"/>
      <c r="E65" s="24" t="n"/>
      <c r="F65" s="24" t="n"/>
      <c r="G65" s="23">
        <f>IF(OR(E65="",F65=""),"",E65*F65)</f>
        <v/>
      </c>
      <c r="H65" s="24" t="n"/>
      <c r="I65" s="24" t="n"/>
    </row>
    <row r="66">
      <c r="A66" s="24" t="n"/>
      <c r="B66" s="24" t="n"/>
      <c r="C66" s="24" t="n"/>
      <c r="D66" s="24" t="n"/>
      <c r="E66" s="24" t="n"/>
      <c r="F66" s="24" t="n"/>
      <c r="G66" s="19">
        <f>IF(OR(E66="",F66=""),"",E66*F66)</f>
        <v/>
      </c>
      <c r="H66" s="24" t="n"/>
      <c r="I66" s="24" t="n"/>
    </row>
    <row r="67">
      <c r="A67" s="24" t="n"/>
      <c r="B67" s="24" t="n"/>
      <c r="C67" s="24" t="n"/>
      <c r="D67" s="24" t="n"/>
      <c r="E67" s="24" t="n"/>
      <c r="F67" s="24" t="n"/>
      <c r="G67" s="23">
        <f>IF(OR(E67="",F67=""),"",E67*F67)</f>
        <v/>
      </c>
      <c r="H67" s="24" t="n"/>
      <c r="I67" s="24" t="n"/>
    </row>
    <row r="68">
      <c r="A68" s="24" t="n"/>
      <c r="B68" s="24" t="n"/>
      <c r="C68" s="24" t="n"/>
      <c r="D68" s="24" t="n"/>
      <c r="E68" s="24" t="n"/>
      <c r="F68" s="24" t="n"/>
      <c r="G68" s="19">
        <f>IF(OR(E68="",F68=""),"",E68*F68)</f>
        <v/>
      </c>
      <c r="H68" s="24" t="n"/>
      <c r="I68" s="24" t="n"/>
    </row>
    <row r="69">
      <c r="A69" s="24" t="n"/>
      <c r="B69" s="24" t="n"/>
      <c r="C69" s="24" t="n"/>
      <c r="D69" s="24" t="n"/>
      <c r="E69" s="24" t="n"/>
      <c r="F69" s="24" t="n"/>
      <c r="G69" s="23">
        <f>IF(OR(E69="",F69=""),"",E69*F69)</f>
        <v/>
      </c>
      <c r="H69" s="24" t="n"/>
      <c r="I69" s="24" t="n"/>
    </row>
    <row r="70">
      <c r="A70" s="24" t="n"/>
      <c r="B70" s="24" t="n"/>
      <c r="C70" s="24" t="n"/>
      <c r="D70" s="24" t="n"/>
      <c r="E70" s="24" t="n"/>
      <c r="F70" s="24" t="n"/>
      <c r="G70" s="19">
        <f>IF(OR(E70="",F70=""),"",E70*F70)</f>
        <v/>
      </c>
      <c r="H70" s="24" t="n"/>
      <c r="I70" s="24" t="n"/>
    </row>
    <row r="71">
      <c r="A71" s="24" t="n"/>
      <c r="B71" s="24" t="n"/>
      <c r="C71" s="24" t="n"/>
      <c r="D71" s="24" t="n"/>
      <c r="E71" s="24" t="n"/>
      <c r="F71" s="24" t="n"/>
      <c r="G71" s="23">
        <f>IF(OR(E71="",F71=""),"",E71*F71)</f>
        <v/>
      </c>
      <c r="H71" s="24" t="n"/>
      <c r="I71" s="24" t="n"/>
    </row>
    <row r="72">
      <c r="A72" s="24" t="n"/>
      <c r="B72" s="24" t="n"/>
      <c r="C72" s="24" t="n"/>
      <c r="D72" s="24" t="n"/>
      <c r="E72" s="24" t="n"/>
      <c r="F72" s="24" t="n"/>
      <c r="G72" s="19">
        <f>IF(OR(E72="",F72=""),"",E72*F72)</f>
        <v/>
      </c>
      <c r="H72" s="24" t="n"/>
      <c r="I72" s="24" t="n"/>
    </row>
    <row r="73">
      <c r="A73" s="24" t="n"/>
      <c r="B73" s="24" t="n"/>
      <c r="C73" s="24" t="n"/>
      <c r="D73" s="24" t="n"/>
      <c r="E73" s="24" t="n"/>
      <c r="F73" s="24" t="n"/>
      <c r="G73" s="23">
        <f>IF(OR(E73="",F73=""),"",E73*F73)</f>
        <v/>
      </c>
      <c r="H73" s="24" t="n"/>
      <c r="I73" s="24" t="n"/>
    </row>
    <row r="74">
      <c r="A74" s="24" t="n"/>
      <c r="B74" s="24" t="n"/>
      <c r="C74" s="24" t="n"/>
      <c r="D74" s="24" t="n"/>
      <c r="E74" s="24" t="n"/>
      <c r="F74" s="24" t="n"/>
      <c r="G74" s="19">
        <f>IF(OR(E74="",F74=""),"",E74*F74)</f>
        <v/>
      </c>
      <c r="H74" s="24" t="n"/>
      <c r="I74" s="24" t="n"/>
    </row>
    <row r="75">
      <c r="A75" s="24" t="n"/>
      <c r="B75" s="24" t="n"/>
      <c r="C75" s="24" t="n"/>
      <c r="D75" s="24" t="n"/>
      <c r="E75" s="24" t="n"/>
      <c r="F75" s="24" t="n"/>
      <c r="G75" s="23">
        <f>IF(OR(E75="",F75=""),"",E75*F75)</f>
        <v/>
      </c>
      <c r="H75" s="24" t="n"/>
      <c r="I75" s="24" t="n"/>
    </row>
    <row r="76">
      <c r="A76" s="24" t="n"/>
      <c r="B76" s="24" t="n"/>
      <c r="C76" s="24" t="n"/>
      <c r="D76" s="24" t="n"/>
      <c r="E76" s="24" t="n"/>
      <c r="F76" s="24" t="n"/>
      <c r="G76" s="19">
        <f>IF(OR(E76="",F76=""),"",E76*F76)</f>
        <v/>
      </c>
      <c r="H76" s="24" t="n"/>
      <c r="I76" s="24" t="n"/>
    </row>
    <row r="77">
      <c r="A77" s="24" t="n"/>
      <c r="B77" s="24" t="n"/>
      <c r="C77" s="24" t="n"/>
      <c r="D77" s="24" t="n"/>
      <c r="E77" s="24" t="n"/>
      <c r="F77" s="24" t="n"/>
      <c r="G77" s="23">
        <f>IF(OR(E77="",F77=""),"",E77*F77)</f>
        <v/>
      </c>
      <c r="H77" s="24" t="n"/>
      <c r="I77" s="24" t="n"/>
    </row>
    <row r="78">
      <c r="A78" s="24" t="n"/>
      <c r="B78" s="24" t="n"/>
      <c r="C78" s="24" t="n"/>
      <c r="D78" s="24" t="n"/>
      <c r="E78" s="24" t="n"/>
      <c r="F78" s="24" t="n"/>
      <c r="G78" s="19">
        <f>IF(OR(E78="",F78=""),"",E78*F78)</f>
        <v/>
      </c>
      <c r="H78" s="24" t="n"/>
      <c r="I78" s="24" t="n"/>
    </row>
    <row r="79">
      <c r="A79" s="24" t="n"/>
      <c r="B79" s="24" t="n"/>
      <c r="C79" s="24" t="n"/>
      <c r="D79" s="24" t="n"/>
      <c r="E79" s="24" t="n"/>
      <c r="F79" s="24" t="n"/>
      <c r="G79" s="23">
        <f>IF(OR(E79="",F79=""),"",E79*F79)</f>
        <v/>
      </c>
      <c r="H79" s="24" t="n"/>
      <c r="I79" s="24" t="n"/>
    </row>
    <row r="80">
      <c r="A80" s="24" t="n"/>
      <c r="B80" s="24" t="n"/>
      <c r="C80" s="24" t="n"/>
      <c r="D80" s="24" t="n"/>
      <c r="E80" s="24" t="n"/>
      <c r="F80" s="24" t="n"/>
      <c r="G80" s="19">
        <f>IF(OR(E80="",F80=""),"",E80*F80)</f>
        <v/>
      </c>
      <c r="H80" s="24" t="n"/>
      <c r="I80" s="24" t="n"/>
    </row>
    <row r="81">
      <c r="A81" s="24" t="n"/>
      <c r="B81" s="24" t="n"/>
      <c r="C81" s="24" t="n"/>
      <c r="D81" s="24" t="n"/>
      <c r="E81" s="24" t="n"/>
      <c r="F81" s="24" t="n"/>
      <c r="G81" s="23">
        <f>IF(OR(E81="",F81=""),"",E81*F81)</f>
        <v/>
      </c>
      <c r="H81" s="24" t="n"/>
      <c r="I81" s="24" t="n"/>
    </row>
    <row r="82">
      <c r="A82" s="24" t="n"/>
      <c r="B82" s="24" t="n"/>
      <c r="C82" s="24" t="n"/>
      <c r="D82" s="24" t="n"/>
      <c r="E82" s="24" t="n"/>
      <c r="F82" s="24" t="n"/>
      <c r="G82" s="19">
        <f>IF(OR(E82="",F82=""),"",E82*F82)</f>
        <v/>
      </c>
      <c r="H82" s="24" t="n"/>
      <c r="I82" s="24" t="n"/>
    </row>
    <row r="83">
      <c r="A83" s="24" t="n"/>
      <c r="B83" s="24" t="n"/>
      <c r="C83" s="24" t="n"/>
      <c r="D83" s="24" t="n"/>
      <c r="E83" s="24" t="n"/>
      <c r="F83" s="24" t="n"/>
      <c r="G83" s="23">
        <f>IF(OR(E83="",F83=""),"",E83*F83)</f>
        <v/>
      </c>
      <c r="H83" s="24" t="n"/>
      <c r="I83" s="24" t="n"/>
    </row>
    <row r="84">
      <c r="A84" s="24" t="n"/>
      <c r="B84" s="24" t="n"/>
      <c r="C84" s="24" t="n"/>
      <c r="D84" s="24" t="n"/>
      <c r="E84" s="24" t="n"/>
      <c r="F84" s="24" t="n"/>
      <c r="G84" s="19">
        <f>IF(OR(E84="",F84=""),"",E84*F84)</f>
        <v/>
      </c>
      <c r="H84" s="24" t="n"/>
      <c r="I84" s="24" t="n"/>
    </row>
    <row r="85">
      <c r="A85" s="24" t="n"/>
      <c r="B85" s="24" t="n"/>
      <c r="C85" s="24" t="n"/>
      <c r="D85" s="24" t="n"/>
      <c r="E85" s="24" t="n"/>
      <c r="F85" s="24" t="n"/>
      <c r="G85" s="23">
        <f>IF(OR(E85="",F85=""),"",E85*F85)</f>
        <v/>
      </c>
      <c r="H85" s="24" t="n"/>
      <c r="I85" s="24" t="n"/>
    </row>
    <row r="86">
      <c r="A86" s="24" t="n"/>
      <c r="B86" s="24" t="n"/>
      <c r="C86" s="24" t="n"/>
      <c r="D86" s="24" t="n"/>
      <c r="E86" s="24" t="n"/>
      <c r="F86" s="24" t="n"/>
      <c r="G86" s="19">
        <f>IF(OR(E86="",F86=""),"",E86*F86)</f>
        <v/>
      </c>
      <c r="H86" s="24" t="n"/>
      <c r="I86" s="24" t="n"/>
    </row>
    <row r="87">
      <c r="A87" s="24" t="n"/>
      <c r="B87" s="24" t="n"/>
      <c r="C87" s="24" t="n"/>
      <c r="D87" s="24" t="n"/>
      <c r="E87" s="24" t="n"/>
      <c r="F87" s="24" t="n"/>
      <c r="G87" s="23">
        <f>IF(OR(E87="",F87=""),"",E87*F87)</f>
        <v/>
      </c>
      <c r="H87" s="24" t="n"/>
      <c r="I87" s="24" t="n"/>
    </row>
    <row r="88">
      <c r="A88" s="24" t="n"/>
      <c r="B88" s="24" t="n"/>
      <c r="C88" s="24" t="n"/>
      <c r="D88" s="24" t="n"/>
      <c r="E88" s="24" t="n"/>
      <c r="F88" s="24" t="n"/>
      <c r="G88" s="19">
        <f>IF(OR(E88="",F88=""),"",E88*F88)</f>
        <v/>
      </c>
      <c r="H88" s="24" t="n"/>
      <c r="I88" s="24" t="n"/>
    </row>
    <row r="89">
      <c r="A89" s="24" t="n"/>
      <c r="B89" s="24" t="n"/>
      <c r="C89" s="24" t="n"/>
      <c r="D89" s="24" t="n"/>
      <c r="E89" s="24" t="n"/>
      <c r="F89" s="24" t="n"/>
      <c r="G89" s="23">
        <f>IF(OR(E89="",F89=""),"",E89*F89)</f>
        <v/>
      </c>
      <c r="H89" s="24" t="n"/>
      <c r="I89" s="24" t="n"/>
    </row>
    <row r="90">
      <c r="A90" s="24" t="n"/>
      <c r="B90" s="24" t="n"/>
      <c r="C90" s="24" t="n"/>
      <c r="D90" s="24" t="n"/>
      <c r="E90" s="24" t="n"/>
      <c r="F90" s="24" t="n"/>
      <c r="G90" s="19">
        <f>IF(OR(E90="",F90=""),"",E90*F90)</f>
        <v/>
      </c>
      <c r="H90" s="24" t="n"/>
      <c r="I90" s="24" t="n"/>
    </row>
    <row r="91">
      <c r="A91" s="24" t="n"/>
      <c r="B91" s="24" t="n"/>
      <c r="C91" s="24" t="n"/>
      <c r="D91" s="24" t="n"/>
      <c r="E91" s="24" t="n"/>
      <c r="F91" s="24" t="n"/>
      <c r="G91" s="23">
        <f>IF(OR(E91="",F91=""),"",E91*F91)</f>
        <v/>
      </c>
      <c r="H91" s="24" t="n"/>
      <c r="I91" s="24" t="n"/>
    </row>
    <row r="92">
      <c r="A92" s="24" t="n"/>
      <c r="B92" s="24" t="n"/>
      <c r="C92" s="24" t="n"/>
      <c r="D92" s="24" t="n"/>
      <c r="E92" s="24" t="n"/>
      <c r="F92" s="24" t="n"/>
      <c r="G92" s="19">
        <f>IF(OR(E92="",F92=""),"",E92*F92)</f>
        <v/>
      </c>
      <c r="H92" s="24" t="n"/>
      <c r="I92" s="24" t="n"/>
    </row>
    <row r="93">
      <c r="A93" s="24" t="n"/>
      <c r="B93" s="24" t="n"/>
      <c r="C93" s="24" t="n"/>
      <c r="D93" s="24" t="n"/>
      <c r="E93" s="24" t="n"/>
      <c r="F93" s="24" t="n"/>
      <c r="G93" s="23">
        <f>IF(OR(E93="",F93=""),"",E93*F93)</f>
        <v/>
      </c>
      <c r="H93" s="24" t="n"/>
      <c r="I93" s="24" t="n"/>
    </row>
    <row r="94">
      <c r="A94" s="24" t="n"/>
      <c r="B94" s="24" t="n"/>
      <c r="C94" s="24" t="n"/>
      <c r="D94" s="24" t="n"/>
      <c r="E94" s="24" t="n"/>
      <c r="F94" s="24" t="n"/>
      <c r="G94" s="19">
        <f>IF(OR(E94="",F94=""),"",E94*F94)</f>
        <v/>
      </c>
      <c r="H94" s="24" t="n"/>
      <c r="I94" s="24" t="n"/>
    </row>
    <row r="95">
      <c r="A95" s="24" t="n"/>
      <c r="B95" s="24" t="n"/>
      <c r="C95" s="24" t="n"/>
      <c r="D95" s="24" t="n"/>
      <c r="E95" s="24" t="n"/>
      <c r="F95" s="24" t="n"/>
      <c r="G95" s="23">
        <f>IF(OR(E95="",F95=""),"",E95*F95)</f>
        <v/>
      </c>
      <c r="H95" s="24" t="n"/>
      <c r="I95" s="24" t="n"/>
    </row>
    <row r="96">
      <c r="A96" s="24" t="n"/>
      <c r="B96" s="24" t="n"/>
      <c r="C96" s="24" t="n"/>
      <c r="D96" s="24" t="n"/>
      <c r="E96" s="24" t="n"/>
      <c r="F96" s="24" t="n"/>
      <c r="G96" s="19">
        <f>IF(OR(E96="",F96=""),"",E96*F96)</f>
        <v/>
      </c>
      <c r="H96" s="24" t="n"/>
      <c r="I96" s="24" t="n"/>
    </row>
    <row r="97">
      <c r="A97" s="24" t="n"/>
      <c r="B97" s="24" t="n"/>
      <c r="C97" s="24" t="n"/>
      <c r="D97" s="24" t="n"/>
      <c r="E97" s="24" t="n"/>
      <c r="F97" s="24" t="n"/>
      <c r="G97" s="23">
        <f>IF(OR(E97="",F97=""),"",E97*F97)</f>
        <v/>
      </c>
      <c r="H97" s="24" t="n"/>
      <c r="I97" s="24" t="n"/>
    </row>
    <row r="98">
      <c r="A98" s="24" t="n"/>
      <c r="B98" s="24" t="n"/>
      <c r="C98" s="24" t="n"/>
      <c r="D98" s="24" t="n"/>
      <c r="E98" s="24" t="n"/>
      <c r="F98" s="24" t="n"/>
      <c r="G98" s="19">
        <f>IF(OR(E98="",F98=""),"",E98*F98)</f>
        <v/>
      </c>
      <c r="H98" s="24" t="n"/>
      <c r="I98" s="24" t="n"/>
    </row>
    <row r="99">
      <c r="A99" s="24" t="n"/>
      <c r="B99" s="24" t="n"/>
      <c r="C99" s="24" t="n"/>
      <c r="D99" s="24" t="n"/>
      <c r="E99" s="24" t="n"/>
      <c r="F99" s="24" t="n"/>
      <c r="G99" s="23">
        <f>IF(OR(E99="",F99=""),"",E99*F99)</f>
        <v/>
      </c>
      <c r="H99" s="24" t="n"/>
      <c r="I99" s="24" t="n"/>
    </row>
    <row r="100">
      <c r="A100" s="24" t="n"/>
      <c r="B100" s="24" t="n"/>
      <c r="C100" s="24" t="n"/>
      <c r="D100" s="24" t="n"/>
      <c r="E100" s="24" t="n"/>
      <c r="F100" s="24" t="n"/>
      <c r="G100" s="19">
        <f>IF(OR(E100="",F100=""),"",E100*F100)</f>
        <v/>
      </c>
      <c r="H100" s="24" t="n"/>
      <c r="I100" s="24" t="n"/>
    </row>
    <row r="101">
      <c r="A101" s="24" t="n"/>
      <c r="B101" s="24" t="n"/>
      <c r="C101" s="24" t="n"/>
      <c r="D101" s="24" t="n"/>
      <c r="E101" s="24" t="n"/>
      <c r="F101" s="24" t="n"/>
      <c r="G101" s="23">
        <f>IF(OR(E101="",F101=""),"",E101*F101)</f>
        <v/>
      </c>
      <c r="H101" s="24" t="n"/>
      <c r="I101" s="24" t="n"/>
    </row>
    <row r="102">
      <c r="A102" s="24" t="n"/>
      <c r="B102" s="24" t="n"/>
      <c r="C102" s="24" t="n"/>
      <c r="D102" s="24" t="n"/>
      <c r="E102" s="24" t="n"/>
      <c r="F102" s="24" t="n"/>
      <c r="G102" s="19">
        <f>IF(OR(E102="",F102=""),"",E102*F102)</f>
        <v/>
      </c>
      <c r="H102" s="24" t="n"/>
      <c r="I102" s="24" t="n"/>
    </row>
    <row r="103">
      <c r="A103" s="24" t="n"/>
      <c r="B103" s="24" t="n"/>
      <c r="C103" s="24" t="n"/>
      <c r="D103" s="24" t="n"/>
      <c r="E103" s="24" t="n"/>
      <c r="F103" s="24" t="n"/>
      <c r="G103" s="23">
        <f>IF(OR(E103="",F103=""),"",E103*F103)</f>
        <v/>
      </c>
      <c r="H103" s="24" t="n"/>
      <c r="I103" s="24" t="n"/>
    </row>
    <row r="104">
      <c r="A104" s="24" t="n"/>
      <c r="B104" s="24" t="n"/>
      <c r="C104" s="24" t="n"/>
      <c r="D104" s="24" t="n"/>
      <c r="E104" s="24" t="n"/>
      <c r="F104" s="24" t="n"/>
      <c r="G104" s="19">
        <f>IF(OR(E104="",F104=""),"",E104*F104)</f>
        <v/>
      </c>
      <c r="H104" s="24" t="n"/>
      <c r="I104" s="24" t="n"/>
    </row>
    <row r="105">
      <c r="A105" s="24" t="n"/>
      <c r="B105" s="24" t="n"/>
      <c r="C105" s="24" t="n"/>
      <c r="D105" s="24" t="n"/>
      <c r="E105" s="24" t="n"/>
      <c r="F105" s="24" t="n"/>
      <c r="G105" s="23">
        <f>IF(OR(E105="",F105=""),"",E105*F105)</f>
        <v/>
      </c>
      <c r="H105" s="24" t="n"/>
      <c r="I105" s="24" t="n"/>
    </row>
    <row r="106">
      <c r="A106" s="24" t="n"/>
      <c r="B106" s="24" t="n"/>
      <c r="C106" s="24" t="n"/>
      <c r="D106" s="24" t="n"/>
      <c r="E106" s="24" t="n"/>
      <c r="F106" s="24" t="n"/>
      <c r="G106" s="19">
        <f>IF(OR(E106="",F106=""),"",E106*F106)</f>
        <v/>
      </c>
      <c r="H106" s="24" t="n"/>
      <c r="I106" s="24" t="n"/>
    </row>
    <row r="107">
      <c r="A107" s="24" t="n"/>
      <c r="B107" s="24" t="n"/>
      <c r="C107" s="24" t="n"/>
      <c r="D107" s="24" t="n"/>
      <c r="E107" s="24" t="n"/>
      <c r="F107" s="24" t="n"/>
      <c r="G107" s="23">
        <f>IF(OR(E107="",F107=""),"",E107*F107)</f>
        <v/>
      </c>
      <c r="H107" s="24" t="n"/>
      <c r="I107" s="24" t="n"/>
    </row>
    <row r="108">
      <c r="A108" s="24" t="n"/>
      <c r="B108" s="24" t="n"/>
      <c r="C108" s="24" t="n"/>
      <c r="D108" s="24" t="n"/>
      <c r="E108" s="24" t="n"/>
      <c r="F108" s="24" t="n"/>
      <c r="G108" s="19">
        <f>IF(OR(E108="",F108=""),"",E108*F108)</f>
        <v/>
      </c>
      <c r="H108" s="24" t="n"/>
      <c r="I108" s="24" t="n"/>
    </row>
    <row r="109">
      <c r="A109" s="24" t="n"/>
      <c r="B109" s="24" t="n"/>
      <c r="C109" s="24" t="n"/>
      <c r="D109" s="24" t="n"/>
      <c r="E109" s="24" t="n"/>
      <c r="F109" s="24" t="n"/>
      <c r="G109" s="23">
        <f>IF(OR(E109="",F109=""),"",E109*F109)</f>
        <v/>
      </c>
      <c r="H109" s="24" t="n"/>
      <c r="I109" s="24" t="n"/>
    </row>
    <row r="110">
      <c r="A110" s="24" t="n"/>
      <c r="B110" s="24" t="n"/>
      <c r="C110" s="24" t="n"/>
      <c r="D110" s="24" t="n"/>
      <c r="E110" s="24" t="n"/>
      <c r="F110" s="24" t="n"/>
      <c r="G110" s="19">
        <f>IF(OR(E110="",F110=""),"",E110*F110)</f>
        <v/>
      </c>
      <c r="H110" s="24" t="n"/>
      <c r="I110" s="24" t="n"/>
    </row>
    <row r="111">
      <c r="A111" s="24" t="n"/>
      <c r="B111" s="24" t="n"/>
      <c r="C111" s="24" t="n"/>
      <c r="D111" s="24" t="n"/>
      <c r="E111" s="24" t="n"/>
      <c r="F111" s="24" t="n"/>
      <c r="G111" s="23">
        <f>IF(OR(E111="",F111=""),"",E111*F111)</f>
        <v/>
      </c>
      <c r="H111" s="24" t="n"/>
      <c r="I111" s="24" t="n"/>
    </row>
    <row r="112">
      <c r="A112" s="24" t="n"/>
      <c r="B112" s="24" t="n"/>
      <c r="C112" s="24" t="n"/>
      <c r="D112" s="24" t="n"/>
      <c r="E112" s="24" t="n"/>
      <c r="F112" s="24" t="n"/>
      <c r="G112" s="19">
        <f>IF(OR(E112="",F112=""),"",E112*F112)</f>
        <v/>
      </c>
      <c r="H112" s="24" t="n"/>
      <c r="I112" s="24" t="n"/>
    </row>
    <row r="113">
      <c r="A113" s="24" t="n"/>
      <c r="B113" s="24" t="n"/>
      <c r="C113" s="24" t="n"/>
      <c r="D113" s="24" t="n"/>
      <c r="E113" s="24" t="n"/>
      <c r="F113" s="24" t="n"/>
      <c r="G113" s="23">
        <f>IF(OR(E113="",F113=""),"",E113*F113)</f>
        <v/>
      </c>
      <c r="H113" s="24" t="n"/>
      <c r="I113" s="24" t="n"/>
    </row>
    <row r="114">
      <c r="A114" s="24" t="n"/>
      <c r="B114" s="24" t="n"/>
      <c r="C114" s="24" t="n"/>
      <c r="D114" s="24" t="n"/>
      <c r="E114" s="24" t="n"/>
      <c r="F114" s="24" t="n"/>
      <c r="G114" s="19">
        <f>IF(OR(E114="",F114=""),"",E114*F114)</f>
        <v/>
      </c>
      <c r="H114" s="24" t="n"/>
      <c r="I114" s="24" t="n"/>
    </row>
    <row r="115">
      <c r="A115" s="24" t="n"/>
      <c r="B115" s="24" t="n"/>
      <c r="C115" s="24" t="n"/>
      <c r="D115" s="24" t="n"/>
      <c r="E115" s="24" t="n"/>
      <c r="F115" s="24" t="n"/>
      <c r="G115" s="23">
        <f>IF(OR(E115="",F115=""),"",E115*F115)</f>
        <v/>
      </c>
      <c r="H115" s="24" t="n"/>
      <c r="I115" s="24" t="n"/>
    </row>
    <row r="116">
      <c r="A116" s="24" t="n"/>
      <c r="B116" s="24" t="n"/>
      <c r="C116" s="24" t="n"/>
      <c r="D116" s="24" t="n"/>
      <c r="E116" s="24" t="n"/>
      <c r="F116" s="24" t="n"/>
      <c r="G116" s="19">
        <f>IF(OR(E116="",F116=""),"",E116*F116)</f>
        <v/>
      </c>
      <c r="H116" s="24" t="n"/>
      <c r="I116" s="24" t="n"/>
    </row>
    <row r="117">
      <c r="A117" s="24" t="n"/>
      <c r="B117" s="24" t="n"/>
      <c r="C117" s="24" t="n"/>
      <c r="D117" s="24" t="n"/>
      <c r="E117" s="24" t="n"/>
      <c r="F117" s="24" t="n"/>
      <c r="G117" s="23">
        <f>IF(OR(E117="",F117=""),"",E117*F117)</f>
        <v/>
      </c>
      <c r="H117" s="24" t="n"/>
      <c r="I117" s="24" t="n"/>
    </row>
    <row r="118">
      <c r="A118" s="24" t="n"/>
      <c r="B118" s="24" t="n"/>
      <c r="C118" s="24" t="n"/>
      <c r="D118" s="24" t="n"/>
      <c r="E118" s="24" t="n"/>
      <c r="F118" s="24" t="n"/>
      <c r="G118" s="19">
        <f>IF(OR(E118="",F118=""),"",E118*F118)</f>
        <v/>
      </c>
      <c r="H118" s="24" t="n"/>
      <c r="I118" s="24" t="n"/>
    </row>
    <row r="119">
      <c r="A119" s="24" t="n"/>
      <c r="B119" s="24" t="n"/>
      <c r="C119" s="24" t="n"/>
      <c r="D119" s="24" t="n"/>
      <c r="E119" s="24" t="n"/>
      <c r="F119" s="24" t="n"/>
      <c r="G119" s="23">
        <f>IF(OR(E119="",F119=""),"",E119*F119)</f>
        <v/>
      </c>
      <c r="H119" s="24" t="n"/>
      <c r="I119" s="24" t="n"/>
    </row>
    <row r="120">
      <c r="A120" s="24" t="n"/>
      <c r="B120" s="24" t="n"/>
      <c r="C120" s="24" t="n"/>
      <c r="D120" s="24" t="n"/>
      <c r="E120" s="24" t="n"/>
      <c r="F120" s="24" t="n"/>
      <c r="G120" s="19">
        <f>IF(OR(E120="",F120=""),"",E120*F120)</f>
        <v/>
      </c>
      <c r="H120" s="24" t="n"/>
      <c r="I120" s="24" t="n"/>
    </row>
    <row r="121">
      <c r="A121" s="24" t="n"/>
      <c r="B121" s="24" t="n"/>
      <c r="C121" s="24" t="n"/>
      <c r="D121" s="24" t="n"/>
      <c r="E121" s="24" t="n"/>
      <c r="F121" s="24" t="n"/>
      <c r="G121" s="23">
        <f>IF(OR(E121="",F121=""),"",E121*F121)</f>
        <v/>
      </c>
      <c r="H121" s="24" t="n"/>
      <c r="I121" s="24" t="n"/>
    </row>
    <row r="122">
      <c r="A122" s="24" t="n"/>
      <c r="B122" s="24" t="n"/>
      <c r="C122" s="24" t="n"/>
      <c r="D122" s="24" t="n"/>
      <c r="E122" s="24" t="n"/>
      <c r="F122" s="24" t="n"/>
      <c r="G122" s="19">
        <f>IF(OR(E122="",F122=""),"",E122*F122)</f>
        <v/>
      </c>
      <c r="H122" s="24" t="n"/>
      <c r="I122" s="24" t="n"/>
    </row>
    <row r="123">
      <c r="A123" s="24" t="n"/>
      <c r="B123" s="24" t="n"/>
      <c r="C123" s="24" t="n"/>
      <c r="D123" s="24" t="n"/>
      <c r="E123" s="24" t="n"/>
      <c r="F123" s="24" t="n"/>
      <c r="G123" s="23">
        <f>IF(OR(E123="",F123=""),"",E123*F123)</f>
        <v/>
      </c>
      <c r="H123" s="24" t="n"/>
      <c r="I123" s="24" t="n"/>
    </row>
    <row r="124">
      <c r="A124" s="24" t="n"/>
      <c r="B124" s="24" t="n"/>
      <c r="C124" s="24" t="n"/>
      <c r="D124" s="24" t="n"/>
      <c r="E124" s="24" t="n"/>
      <c r="F124" s="24" t="n"/>
      <c r="G124" s="19">
        <f>IF(OR(E124="",F124=""),"",E124*F124)</f>
        <v/>
      </c>
      <c r="H124" s="24" t="n"/>
      <c r="I124" s="24" t="n"/>
    </row>
    <row r="125">
      <c r="A125" s="24" t="n"/>
      <c r="B125" s="24" t="n"/>
      <c r="C125" s="24" t="n"/>
      <c r="D125" s="24" t="n"/>
      <c r="E125" s="24" t="n"/>
      <c r="F125" s="24" t="n"/>
      <c r="G125" s="23">
        <f>IF(OR(E125="",F125=""),"",E125*F125)</f>
        <v/>
      </c>
      <c r="H125" s="24" t="n"/>
      <c r="I125" s="24" t="n"/>
    </row>
    <row r="126">
      <c r="A126" s="24" t="n"/>
      <c r="B126" s="24" t="n"/>
      <c r="C126" s="24" t="n"/>
      <c r="D126" s="24" t="n"/>
      <c r="E126" s="24" t="n"/>
      <c r="F126" s="24" t="n"/>
      <c r="G126" s="19">
        <f>IF(OR(E126="",F126=""),"",E126*F126)</f>
        <v/>
      </c>
      <c r="H126" s="24" t="n"/>
      <c r="I126" s="24" t="n"/>
    </row>
    <row r="127">
      <c r="A127" s="24" t="n"/>
      <c r="B127" s="24" t="n"/>
      <c r="C127" s="24" t="n"/>
      <c r="D127" s="24" t="n"/>
      <c r="E127" s="24" t="n"/>
      <c r="F127" s="24" t="n"/>
      <c r="G127" s="23">
        <f>IF(OR(E127="",F127=""),"",E127*F127)</f>
        <v/>
      </c>
      <c r="H127" s="24" t="n"/>
      <c r="I127" s="24" t="n"/>
    </row>
    <row r="128">
      <c r="A128" s="24" t="n"/>
      <c r="B128" s="24" t="n"/>
      <c r="C128" s="24" t="n"/>
      <c r="D128" s="24" t="n"/>
      <c r="E128" s="24" t="n"/>
      <c r="F128" s="24" t="n"/>
      <c r="G128" s="19">
        <f>IF(OR(E128="",F128=""),"",E128*F128)</f>
        <v/>
      </c>
      <c r="H128" s="24" t="n"/>
      <c r="I128" s="24" t="n"/>
    </row>
    <row r="129">
      <c r="A129" s="24" t="n"/>
      <c r="B129" s="24" t="n"/>
      <c r="C129" s="24" t="n"/>
      <c r="D129" s="24" t="n"/>
      <c r="E129" s="24" t="n"/>
      <c r="F129" s="24" t="n"/>
      <c r="G129" s="23">
        <f>IF(OR(E129="",F129=""),"",E129*F129)</f>
        <v/>
      </c>
      <c r="H129" s="24" t="n"/>
      <c r="I129" s="24" t="n"/>
    </row>
    <row r="130">
      <c r="A130" s="24" t="n"/>
      <c r="B130" s="24" t="n"/>
      <c r="C130" s="24" t="n"/>
      <c r="D130" s="24" t="n"/>
      <c r="E130" s="24" t="n"/>
      <c r="F130" s="24" t="n"/>
      <c r="G130" s="19">
        <f>IF(OR(E130="",F130=""),"",E130*F130)</f>
        <v/>
      </c>
      <c r="H130" s="24" t="n"/>
      <c r="I130" s="24" t="n"/>
    </row>
    <row r="131">
      <c r="A131" s="24" t="n"/>
      <c r="B131" s="24" t="n"/>
      <c r="C131" s="24" t="n"/>
      <c r="D131" s="24" t="n"/>
      <c r="E131" s="24" t="n"/>
      <c r="F131" s="24" t="n"/>
      <c r="G131" s="23">
        <f>IF(OR(E131="",F131=""),"",E131*F131)</f>
        <v/>
      </c>
      <c r="H131" s="24" t="n"/>
      <c r="I131" s="24" t="n"/>
    </row>
    <row r="132">
      <c r="A132" s="24" t="n"/>
      <c r="B132" s="24" t="n"/>
      <c r="C132" s="24" t="n"/>
      <c r="D132" s="24" t="n"/>
      <c r="E132" s="24" t="n"/>
      <c r="F132" s="24" t="n"/>
      <c r="G132" s="19">
        <f>IF(OR(E132="",F132=""),"",E132*F132)</f>
        <v/>
      </c>
      <c r="H132" s="24" t="n"/>
      <c r="I132" s="24" t="n"/>
    </row>
    <row r="133">
      <c r="A133" s="24" t="n"/>
      <c r="B133" s="24" t="n"/>
      <c r="C133" s="24" t="n"/>
      <c r="D133" s="24" t="n"/>
      <c r="E133" s="24" t="n"/>
      <c r="F133" s="24" t="n"/>
      <c r="G133" s="23">
        <f>IF(OR(E133="",F133=""),"",E133*F133)</f>
        <v/>
      </c>
      <c r="H133" s="24" t="n"/>
      <c r="I133" s="24" t="n"/>
    </row>
    <row r="134">
      <c r="A134" s="24" t="n"/>
      <c r="B134" s="24" t="n"/>
      <c r="C134" s="24" t="n"/>
      <c r="D134" s="24" t="n"/>
      <c r="E134" s="24" t="n"/>
      <c r="F134" s="24" t="n"/>
      <c r="G134" s="19">
        <f>IF(OR(E134="",F134=""),"",E134*F134)</f>
        <v/>
      </c>
      <c r="H134" s="24" t="n"/>
      <c r="I134" s="24" t="n"/>
    </row>
    <row r="135">
      <c r="A135" s="24" t="n"/>
      <c r="B135" s="24" t="n"/>
      <c r="C135" s="24" t="n"/>
      <c r="D135" s="24" t="n"/>
      <c r="E135" s="24" t="n"/>
      <c r="F135" s="24" t="n"/>
      <c r="G135" s="23">
        <f>IF(OR(E135="",F135=""),"",E135*F135)</f>
        <v/>
      </c>
      <c r="H135" s="24" t="n"/>
      <c r="I135" s="24" t="n"/>
    </row>
    <row r="136">
      <c r="A136" s="24" t="n"/>
      <c r="B136" s="24" t="n"/>
      <c r="C136" s="24" t="n"/>
      <c r="D136" s="24" t="n"/>
      <c r="E136" s="24" t="n"/>
      <c r="F136" s="24" t="n"/>
      <c r="G136" s="19">
        <f>IF(OR(E136="",F136=""),"",E136*F136)</f>
        <v/>
      </c>
      <c r="H136" s="24" t="n"/>
      <c r="I136" s="24" t="n"/>
    </row>
    <row r="137">
      <c r="A137" s="24" t="n"/>
      <c r="B137" s="24" t="n"/>
      <c r="C137" s="24" t="n"/>
      <c r="D137" s="24" t="n"/>
      <c r="E137" s="24" t="n"/>
      <c r="F137" s="24" t="n"/>
      <c r="G137" s="23">
        <f>IF(OR(E137="",F137=""),"",E137*F137)</f>
        <v/>
      </c>
      <c r="H137" s="24" t="n"/>
      <c r="I137" s="24" t="n"/>
    </row>
    <row r="138">
      <c r="A138" s="24" t="n"/>
      <c r="B138" s="24" t="n"/>
      <c r="C138" s="24" t="n"/>
      <c r="D138" s="24" t="n"/>
      <c r="E138" s="24" t="n"/>
      <c r="F138" s="24" t="n"/>
      <c r="G138" s="19">
        <f>IF(OR(E138="",F138=""),"",E138*F138)</f>
        <v/>
      </c>
      <c r="H138" s="24" t="n"/>
      <c r="I138" s="24" t="n"/>
    </row>
    <row r="139">
      <c r="A139" s="24" t="n"/>
      <c r="B139" s="24" t="n"/>
      <c r="C139" s="24" t="n"/>
      <c r="D139" s="24" t="n"/>
      <c r="E139" s="24" t="n"/>
      <c r="F139" s="24" t="n"/>
      <c r="G139" s="23">
        <f>IF(OR(E139="",F139=""),"",E139*F139)</f>
        <v/>
      </c>
      <c r="H139" s="24" t="n"/>
      <c r="I139" s="24" t="n"/>
    </row>
    <row r="140">
      <c r="A140" s="24" t="n"/>
      <c r="B140" s="24" t="n"/>
      <c r="C140" s="24" t="n"/>
      <c r="D140" s="24" t="n"/>
      <c r="E140" s="24" t="n"/>
      <c r="F140" s="24" t="n"/>
      <c r="G140" s="19">
        <f>IF(OR(E140="",F140=""),"",E140*F140)</f>
        <v/>
      </c>
      <c r="H140" s="24" t="n"/>
      <c r="I140" s="24" t="n"/>
    </row>
    <row r="141">
      <c r="A141" s="24" t="n"/>
      <c r="B141" s="24" t="n"/>
      <c r="C141" s="24" t="n"/>
      <c r="D141" s="24" t="n"/>
      <c r="E141" s="24" t="n"/>
      <c r="F141" s="24" t="n"/>
      <c r="G141" s="23">
        <f>IF(OR(E141="",F141=""),"",E141*F141)</f>
        <v/>
      </c>
      <c r="H141" s="24" t="n"/>
      <c r="I141" s="24" t="n"/>
    </row>
    <row r="142">
      <c r="A142" s="24" t="n"/>
      <c r="B142" s="24" t="n"/>
      <c r="C142" s="24" t="n"/>
      <c r="D142" s="24" t="n"/>
      <c r="E142" s="24" t="n"/>
      <c r="F142" s="24" t="n"/>
      <c r="G142" s="19">
        <f>IF(OR(E142="",F142=""),"",E142*F142)</f>
        <v/>
      </c>
      <c r="H142" s="24" t="n"/>
      <c r="I142" s="24" t="n"/>
    </row>
    <row r="143">
      <c r="A143" s="24" t="n"/>
      <c r="B143" s="24" t="n"/>
      <c r="C143" s="24" t="n"/>
      <c r="D143" s="24" t="n"/>
      <c r="E143" s="24" t="n"/>
      <c r="F143" s="24" t="n"/>
      <c r="G143" s="23">
        <f>IF(OR(E143="",F143=""),"",E143*F143)</f>
        <v/>
      </c>
      <c r="H143" s="24" t="n"/>
      <c r="I143" s="24" t="n"/>
    </row>
    <row r="144">
      <c r="A144" s="24" t="n"/>
      <c r="B144" s="24" t="n"/>
      <c r="C144" s="24" t="n"/>
      <c r="D144" s="24" t="n"/>
      <c r="E144" s="24" t="n"/>
      <c r="F144" s="24" t="n"/>
      <c r="G144" s="19">
        <f>IF(OR(E144="",F144=""),"",E144*F144)</f>
        <v/>
      </c>
      <c r="H144" s="24" t="n"/>
      <c r="I144" s="24" t="n"/>
    </row>
    <row r="145">
      <c r="A145" s="24" t="n"/>
      <c r="B145" s="24" t="n"/>
      <c r="C145" s="24" t="n"/>
      <c r="D145" s="24" t="n"/>
      <c r="E145" s="24" t="n"/>
      <c r="F145" s="24" t="n"/>
      <c r="G145" s="23">
        <f>IF(OR(E145="",F145=""),"",E145*F145)</f>
        <v/>
      </c>
      <c r="H145" s="24" t="n"/>
      <c r="I145" s="24" t="n"/>
    </row>
    <row r="146">
      <c r="A146" s="24" t="n"/>
      <c r="B146" s="24" t="n"/>
      <c r="C146" s="24" t="n"/>
      <c r="D146" s="24" t="n"/>
      <c r="E146" s="24" t="n"/>
      <c r="F146" s="24" t="n"/>
      <c r="G146" s="19">
        <f>IF(OR(E146="",F146=""),"",E146*F146)</f>
        <v/>
      </c>
      <c r="H146" s="24" t="n"/>
      <c r="I146" s="24" t="n"/>
    </row>
    <row r="147">
      <c r="A147" s="24" t="n"/>
      <c r="B147" s="24" t="n"/>
      <c r="C147" s="24" t="n"/>
      <c r="D147" s="24" t="n"/>
      <c r="E147" s="24" t="n"/>
      <c r="F147" s="24" t="n"/>
      <c r="G147" s="23">
        <f>IF(OR(E147="",F147=""),"",E147*F147)</f>
        <v/>
      </c>
      <c r="H147" s="24" t="n"/>
      <c r="I147" s="24" t="n"/>
    </row>
    <row r="148">
      <c r="A148" s="24" t="n"/>
      <c r="B148" s="24" t="n"/>
      <c r="C148" s="24" t="n"/>
      <c r="D148" s="24" t="n"/>
      <c r="E148" s="24" t="n"/>
      <c r="F148" s="24" t="n"/>
      <c r="G148" s="19">
        <f>IF(OR(E148="",F148=""),"",E148*F148)</f>
        <v/>
      </c>
      <c r="H148" s="24" t="n"/>
      <c r="I148" s="24" t="n"/>
    </row>
    <row r="149">
      <c r="A149" s="24" t="n"/>
      <c r="B149" s="24" t="n"/>
      <c r="C149" s="24" t="n"/>
      <c r="D149" s="24" t="n"/>
      <c r="E149" s="24" t="n"/>
      <c r="F149" s="24" t="n"/>
      <c r="G149" s="23">
        <f>IF(OR(E149="",F149=""),"",E149*F149)</f>
        <v/>
      </c>
      <c r="H149" s="24" t="n"/>
      <c r="I149" s="24" t="n"/>
    </row>
    <row r="150">
      <c r="A150" s="24" t="n"/>
      <c r="B150" s="24" t="n"/>
      <c r="C150" s="24" t="n"/>
      <c r="D150" s="24" t="n"/>
      <c r="E150" s="24" t="n"/>
      <c r="F150" s="24" t="n"/>
      <c r="G150" s="19">
        <f>IF(OR(E150="",F150=""),"",E150*F150)</f>
        <v/>
      </c>
      <c r="H150" s="24" t="n"/>
      <c r="I150" s="24" t="n"/>
    </row>
    <row r="151">
      <c r="A151" s="24" t="n"/>
      <c r="B151" s="24" t="n"/>
      <c r="C151" s="24" t="n"/>
      <c r="D151" s="24" t="n"/>
      <c r="E151" s="24" t="n"/>
      <c r="F151" s="24" t="n"/>
      <c r="G151" s="23">
        <f>IF(OR(E151="",F151=""),"",E151*F151)</f>
        <v/>
      </c>
      <c r="H151" s="24" t="n"/>
      <c r="I151" s="24" t="n"/>
    </row>
    <row r="152">
      <c r="A152" s="24" t="n"/>
      <c r="B152" s="24" t="n"/>
      <c r="C152" s="24" t="n"/>
      <c r="D152" s="24" t="n"/>
      <c r="E152" s="24" t="n"/>
      <c r="F152" s="24" t="n"/>
      <c r="G152" s="19">
        <f>IF(OR(E152="",F152=""),"",E152*F152)</f>
        <v/>
      </c>
      <c r="H152" s="24" t="n"/>
      <c r="I152" s="24" t="n"/>
    </row>
    <row r="153">
      <c r="A153" s="24" t="n"/>
      <c r="B153" s="24" t="n"/>
      <c r="C153" s="24" t="n"/>
      <c r="D153" s="24" t="n"/>
      <c r="E153" s="24" t="n"/>
      <c r="F153" s="24" t="n"/>
      <c r="G153" s="23">
        <f>IF(OR(E153="",F153=""),"",E153*F153)</f>
        <v/>
      </c>
      <c r="H153" s="24" t="n"/>
      <c r="I153" s="24" t="n"/>
    </row>
    <row r="154">
      <c r="A154" s="24" t="n"/>
      <c r="B154" s="24" t="n"/>
      <c r="C154" s="24" t="n"/>
      <c r="D154" s="24" t="n"/>
      <c r="E154" s="24" t="n"/>
      <c r="F154" s="24" t="n"/>
      <c r="G154" s="19">
        <f>IF(OR(E154="",F154=""),"",E154*F154)</f>
        <v/>
      </c>
      <c r="H154" s="24" t="n"/>
      <c r="I154" s="24" t="n"/>
    </row>
    <row r="155">
      <c r="A155" s="24" t="n"/>
      <c r="B155" s="24" t="n"/>
      <c r="C155" s="24" t="n"/>
      <c r="D155" s="24" t="n"/>
      <c r="E155" s="24" t="n"/>
      <c r="F155" s="24" t="n"/>
      <c r="G155" s="23">
        <f>IF(OR(E155="",F155=""),"",E155*F155)</f>
        <v/>
      </c>
      <c r="H155" s="24" t="n"/>
      <c r="I155" s="24" t="n"/>
    </row>
    <row r="156">
      <c r="A156" s="24" t="n"/>
      <c r="B156" s="24" t="n"/>
      <c r="C156" s="24" t="n"/>
      <c r="D156" s="24" t="n"/>
      <c r="E156" s="24" t="n"/>
      <c r="F156" s="24" t="n"/>
      <c r="G156" s="19">
        <f>IF(OR(E156="",F156=""),"",E156*F156)</f>
        <v/>
      </c>
      <c r="H156" s="24" t="n"/>
      <c r="I156" s="24" t="n"/>
    </row>
    <row r="157">
      <c r="A157" s="24" t="n"/>
      <c r="B157" s="24" t="n"/>
      <c r="C157" s="24" t="n"/>
      <c r="D157" s="24" t="n"/>
      <c r="E157" s="24" t="n"/>
      <c r="F157" s="24" t="n"/>
      <c r="G157" s="23">
        <f>IF(OR(E157="",F157=""),"",E157*F157)</f>
        <v/>
      </c>
      <c r="H157" s="24" t="n"/>
      <c r="I157" s="24" t="n"/>
    </row>
    <row r="158">
      <c r="A158" s="24" t="n"/>
      <c r="B158" s="24" t="n"/>
      <c r="C158" s="24" t="n"/>
      <c r="D158" s="24" t="n"/>
      <c r="E158" s="24" t="n"/>
      <c r="F158" s="24" t="n"/>
      <c r="G158" s="19">
        <f>IF(OR(E158="",F158=""),"",E158*F158)</f>
        <v/>
      </c>
      <c r="H158" s="24" t="n"/>
      <c r="I158" s="24" t="n"/>
    </row>
    <row r="159">
      <c r="A159" s="24" t="n"/>
      <c r="B159" s="24" t="n"/>
      <c r="C159" s="24" t="n"/>
      <c r="D159" s="24" t="n"/>
      <c r="E159" s="24" t="n"/>
      <c r="F159" s="24" t="n"/>
      <c r="G159" s="23">
        <f>IF(OR(E159="",F159=""),"",E159*F159)</f>
        <v/>
      </c>
      <c r="H159" s="24" t="n"/>
      <c r="I159" s="24" t="n"/>
    </row>
    <row r="160">
      <c r="A160" s="24" t="n"/>
      <c r="B160" s="24" t="n"/>
      <c r="C160" s="24" t="n"/>
      <c r="D160" s="24" t="n"/>
      <c r="E160" s="24" t="n"/>
      <c r="F160" s="24" t="n"/>
      <c r="G160" s="19">
        <f>IF(OR(E160="",F160=""),"",E160*F160)</f>
        <v/>
      </c>
      <c r="H160" s="24" t="n"/>
      <c r="I160" s="24" t="n"/>
    </row>
    <row r="161">
      <c r="A161" s="24" t="n"/>
      <c r="B161" s="24" t="n"/>
      <c r="C161" s="24" t="n"/>
      <c r="D161" s="24" t="n"/>
      <c r="E161" s="24" t="n"/>
      <c r="F161" s="24" t="n"/>
      <c r="G161" s="23">
        <f>IF(OR(E161="",F161=""),"",E161*F161)</f>
        <v/>
      </c>
      <c r="H161" s="24" t="n"/>
      <c r="I161" s="24" t="n"/>
    </row>
    <row r="162">
      <c r="A162" s="24" t="n"/>
      <c r="B162" s="24" t="n"/>
      <c r="C162" s="24" t="n"/>
      <c r="D162" s="24" t="n"/>
      <c r="E162" s="24" t="n"/>
      <c r="F162" s="24" t="n"/>
      <c r="G162" s="19">
        <f>IF(OR(E162="",F162=""),"",E162*F162)</f>
        <v/>
      </c>
      <c r="H162" s="24" t="n"/>
      <c r="I162" s="24" t="n"/>
    </row>
    <row r="163">
      <c r="A163" s="24" t="n"/>
      <c r="B163" s="24" t="n"/>
      <c r="C163" s="24" t="n"/>
      <c r="D163" s="24" t="n"/>
      <c r="E163" s="24" t="n"/>
      <c r="F163" s="24" t="n"/>
      <c r="G163" s="23">
        <f>IF(OR(E163="",F163=""),"",E163*F163)</f>
        <v/>
      </c>
      <c r="H163" s="24" t="n"/>
      <c r="I163" s="24" t="n"/>
    </row>
    <row r="164">
      <c r="A164" s="24" t="n"/>
      <c r="B164" s="24" t="n"/>
      <c r="C164" s="24" t="n"/>
      <c r="D164" s="24" t="n"/>
      <c r="E164" s="24" t="n"/>
      <c r="F164" s="24" t="n"/>
      <c r="G164" s="19">
        <f>IF(OR(E164="",F164=""),"",E164*F164)</f>
        <v/>
      </c>
      <c r="H164" s="24" t="n"/>
      <c r="I164" s="24" t="n"/>
    </row>
    <row r="165">
      <c r="A165" s="24" t="n"/>
      <c r="B165" s="24" t="n"/>
      <c r="C165" s="24" t="n"/>
      <c r="D165" s="24" t="n"/>
      <c r="E165" s="24" t="n"/>
      <c r="F165" s="24" t="n"/>
      <c r="G165" s="23">
        <f>IF(OR(E165="",F165=""),"",E165*F165)</f>
        <v/>
      </c>
      <c r="H165" s="24" t="n"/>
      <c r="I165" s="24" t="n"/>
    </row>
    <row r="166">
      <c r="A166" s="24" t="n"/>
      <c r="B166" s="24" t="n"/>
      <c r="C166" s="24" t="n"/>
      <c r="D166" s="24" t="n"/>
      <c r="E166" s="24" t="n"/>
      <c r="F166" s="24" t="n"/>
      <c r="G166" s="19">
        <f>IF(OR(E166="",F166=""),"",E166*F166)</f>
        <v/>
      </c>
      <c r="H166" s="24" t="n"/>
      <c r="I166" s="24" t="n"/>
    </row>
    <row r="167">
      <c r="A167" s="24" t="n"/>
      <c r="B167" s="24" t="n"/>
      <c r="C167" s="24" t="n"/>
      <c r="D167" s="24" t="n"/>
      <c r="E167" s="24" t="n"/>
      <c r="F167" s="24" t="n"/>
      <c r="G167" s="23">
        <f>IF(OR(E167="",F167=""),"",E167*F167)</f>
        <v/>
      </c>
      <c r="H167" s="24" t="n"/>
      <c r="I167" s="24" t="n"/>
    </row>
    <row r="168">
      <c r="A168" s="24" t="n"/>
      <c r="B168" s="24" t="n"/>
      <c r="C168" s="24" t="n"/>
      <c r="D168" s="24" t="n"/>
      <c r="E168" s="24" t="n"/>
      <c r="F168" s="24" t="n"/>
      <c r="G168" s="19">
        <f>IF(OR(E168="",F168=""),"",E168*F168)</f>
        <v/>
      </c>
      <c r="H168" s="24" t="n"/>
      <c r="I168" s="24" t="n"/>
    </row>
    <row r="169">
      <c r="A169" s="24" t="n"/>
      <c r="B169" s="24" t="n"/>
      <c r="C169" s="24" t="n"/>
      <c r="D169" s="24" t="n"/>
      <c r="E169" s="24" t="n"/>
      <c r="F169" s="24" t="n"/>
      <c r="G169" s="23">
        <f>IF(OR(E169="",F169=""),"",E169*F169)</f>
        <v/>
      </c>
      <c r="H169" s="24" t="n"/>
      <c r="I169" s="24" t="n"/>
    </row>
    <row r="170">
      <c r="A170" s="24" t="n"/>
      <c r="B170" s="24" t="n"/>
      <c r="C170" s="24" t="n"/>
      <c r="D170" s="24" t="n"/>
      <c r="E170" s="24" t="n"/>
      <c r="F170" s="24" t="n"/>
      <c r="G170" s="19">
        <f>IF(OR(E170="",F170=""),"",E170*F170)</f>
        <v/>
      </c>
      <c r="H170" s="24" t="n"/>
      <c r="I170" s="24" t="n"/>
    </row>
    <row r="171">
      <c r="A171" s="24" t="n"/>
      <c r="B171" s="24" t="n"/>
      <c r="C171" s="24" t="n"/>
      <c r="D171" s="24" t="n"/>
      <c r="E171" s="24" t="n"/>
      <c r="F171" s="24" t="n"/>
      <c r="G171" s="23">
        <f>IF(OR(E171="",F171=""),"",E171*F171)</f>
        <v/>
      </c>
      <c r="H171" s="24" t="n"/>
      <c r="I171" s="24" t="n"/>
    </row>
    <row r="172">
      <c r="A172" s="24" t="n"/>
      <c r="B172" s="24" t="n"/>
      <c r="C172" s="24" t="n"/>
      <c r="D172" s="24" t="n"/>
      <c r="E172" s="24" t="n"/>
      <c r="F172" s="24" t="n"/>
      <c r="G172" s="19">
        <f>IF(OR(E172="",F172=""),"",E172*F172)</f>
        <v/>
      </c>
      <c r="H172" s="24" t="n"/>
      <c r="I172" s="24" t="n"/>
    </row>
    <row r="173">
      <c r="A173" s="24" t="n"/>
      <c r="B173" s="24" t="n"/>
      <c r="C173" s="24" t="n"/>
      <c r="D173" s="24" t="n"/>
      <c r="E173" s="24" t="n"/>
      <c r="F173" s="24" t="n"/>
      <c r="G173" s="23">
        <f>IF(OR(E173="",F173=""),"",E173*F173)</f>
        <v/>
      </c>
      <c r="H173" s="24" t="n"/>
      <c r="I173" s="24" t="n"/>
    </row>
    <row r="174">
      <c r="A174" s="24" t="n"/>
      <c r="B174" s="24" t="n"/>
      <c r="C174" s="24" t="n"/>
      <c r="D174" s="24" t="n"/>
      <c r="E174" s="24" t="n"/>
      <c r="F174" s="24" t="n"/>
      <c r="G174" s="19">
        <f>IF(OR(E174="",F174=""),"",E174*F174)</f>
        <v/>
      </c>
      <c r="H174" s="24" t="n"/>
      <c r="I174" s="24" t="n"/>
    </row>
    <row r="175">
      <c r="A175" s="24" t="n"/>
      <c r="B175" s="24" t="n"/>
      <c r="C175" s="24" t="n"/>
      <c r="D175" s="24" t="n"/>
      <c r="E175" s="24" t="n"/>
      <c r="F175" s="24" t="n"/>
      <c r="G175" s="23">
        <f>IF(OR(E175="",F175=""),"",E175*F175)</f>
        <v/>
      </c>
      <c r="H175" s="24" t="n"/>
      <c r="I175" s="24" t="n"/>
    </row>
    <row r="176">
      <c r="A176" s="24" t="n"/>
      <c r="B176" s="24" t="n"/>
      <c r="C176" s="24" t="n"/>
      <c r="D176" s="24" t="n"/>
      <c r="E176" s="24" t="n"/>
      <c r="F176" s="24" t="n"/>
      <c r="G176" s="19">
        <f>IF(OR(E176="",F176=""),"",E176*F176)</f>
        <v/>
      </c>
      <c r="H176" s="24" t="n"/>
      <c r="I176" s="24" t="n"/>
    </row>
    <row r="177">
      <c r="A177" s="24" t="n"/>
      <c r="B177" s="24" t="n"/>
      <c r="C177" s="24" t="n"/>
      <c r="D177" s="24" t="n"/>
      <c r="E177" s="24" t="n"/>
      <c r="F177" s="24" t="n"/>
      <c r="G177" s="23">
        <f>IF(OR(E177="",F177=""),"",E177*F177)</f>
        <v/>
      </c>
      <c r="H177" s="24" t="n"/>
      <c r="I177" s="24" t="n"/>
    </row>
    <row r="178">
      <c r="A178" s="24" t="n"/>
      <c r="B178" s="24" t="n"/>
      <c r="C178" s="24" t="n"/>
      <c r="D178" s="24" t="n"/>
      <c r="E178" s="24" t="n"/>
      <c r="F178" s="24" t="n"/>
      <c r="G178" s="19">
        <f>IF(OR(E178="",F178=""),"",E178*F178)</f>
        <v/>
      </c>
      <c r="H178" s="24" t="n"/>
      <c r="I178" s="24" t="n"/>
    </row>
    <row r="179">
      <c r="A179" s="24" t="n"/>
      <c r="B179" s="24" t="n"/>
      <c r="C179" s="24" t="n"/>
      <c r="D179" s="24" t="n"/>
      <c r="E179" s="24" t="n"/>
      <c r="F179" s="24" t="n"/>
      <c r="G179" s="23">
        <f>IF(OR(E179="",F179=""),"",E179*F179)</f>
        <v/>
      </c>
      <c r="H179" s="24" t="n"/>
      <c r="I179" s="24" t="n"/>
    </row>
    <row r="180">
      <c r="A180" s="24" t="n"/>
      <c r="B180" s="24" t="n"/>
      <c r="C180" s="24" t="n"/>
      <c r="D180" s="24" t="n"/>
      <c r="E180" s="24" t="n"/>
      <c r="F180" s="24" t="n"/>
      <c r="G180" s="19">
        <f>IF(OR(E180="",F180=""),"",E180*F180)</f>
        <v/>
      </c>
      <c r="H180" s="24" t="n"/>
      <c r="I180" s="24" t="n"/>
    </row>
    <row r="181">
      <c r="A181" s="24" t="n"/>
      <c r="B181" s="24" t="n"/>
      <c r="C181" s="24" t="n"/>
      <c r="D181" s="24" t="n"/>
      <c r="E181" s="24" t="n"/>
      <c r="F181" s="24" t="n"/>
      <c r="G181" s="23">
        <f>IF(OR(E181="",F181=""),"",E181*F181)</f>
        <v/>
      </c>
      <c r="H181" s="24" t="n"/>
      <c r="I181" s="24" t="n"/>
    </row>
    <row r="182">
      <c r="A182" s="24" t="n"/>
      <c r="B182" s="24" t="n"/>
      <c r="C182" s="24" t="n"/>
      <c r="D182" s="24" t="n"/>
      <c r="E182" s="24" t="n"/>
      <c r="F182" s="24" t="n"/>
      <c r="G182" s="19">
        <f>IF(OR(E182="",F182=""),"",E182*F182)</f>
        <v/>
      </c>
      <c r="H182" s="24" t="n"/>
      <c r="I182" s="24" t="n"/>
    </row>
    <row r="183">
      <c r="A183" s="24" t="n"/>
      <c r="B183" s="24" t="n"/>
      <c r="C183" s="24" t="n"/>
      <c r="D183" s="24" t="n"/>
      <c r="E183" s="24" t="n"/>
      <c r="F183" s="24" t="n"/>
      <c r="G183" s="23">
        <f>IF(OR(E183="",F183=""),"",E183*F183)</f>
        <v/>
      </c>
      <c r="H183" s="24" t="n"/>
      <c r="I183" s="24" t="n"/>
    </row>
    <row r="184">
      <c r="A184" s="24" t="n"/>
      <c r="B184" s="24" t="n"/>
      <c r="C184" s="24" t="n"/>
      <c r="D184" s="24" t="n"/>
      <c r="E184" s="24" t="n"/>
      <c r="F184" s="24" t="n"/>
      <c r="G184" s="19">
        <f>IF(OR(E184="",F184=""),"",E184*F184)</f>
        <v/>
      </c>
      <c r="H184" s="24" t="n"/>
      <c r="I184" s="24" t="n"/>
    </row>
    <row r="185">
      <c r="A185" s="24" t="n"/>
      <c r="B185" s="24" t="n"/>
      <c r="C185" s="24" t="n"/>
      <c r="D185" s="24" t="n"/>
      <c r="E185" s="24" t="n"/>
      <c r="F185" s="24" t="n"/>
      <c r="G185" s="23">
        <f>IF(OR(E185="",F185=""),"",E185*F185)</f>
        <v/>
      </c>
      <c r="H185" s="24" t="n"/>
      <c r="I185" s="24" t="n"/>
    </row>
    <row r="186">
      <c r="A186" s="24" t="n"/>
      <c r="B186" s="24" t="n"/>
      <c r="C186" s="24" t="n"/>
      <c r="D186" s="24" t="n"/>
      <c r="E186" s="24" t="n"/>
      <c r="F186" s="24" t="n"/>
      <c r="G186" s="19">
        <f>IF(OR(E186="",F186=""),"",E186*F186)</f>
        <v/>
      </c>
      <c r="H186" s="24" t="n"/>
      <c r="I186" s="24" t="n"/>
    </row>
    <row r="187">
      <c r="A187" s="24" t="n"/>
      <c r="B187" s="24" t="n"/>
      <c r="C187" s="24" t="n"/>
      <c r="D187" s="24" t="n"/>
      <c r="E187" s="24" t="n"/>
      <c r="F187" s="24" t="n"/>
      <c r="G187" s="23">
        <f>IF(OR(E187="",F187=""),"",E187*F187)</f>
        <v/>
      </c>
      <c r="H187" s="24" t="n"/>
      <c r="I187" s="24" t="n"/>
    </row>
    <row r="188">
      <c r="A188" s="24" t="n"/>
      <c r="B188" s="24" t="n"/>
      <c r="C188" s="24" t="n"/>
      <c r="D188" s="24" t="n"/>
      <c r="E188" s="24" t="n"/>
      <c r="F188" s="24" t="n"/>
      <c r="G188" s="19">
        <f>IF(OR(E188="",F188=""),"",E188*F188)</f>
        <v/>
      </c>
      <c r="H188" s="24" t="n"/>
      <c r="I188" s="24" t="n"/>
    </row>
    <row r="189">
      <c r="A189" s="24" t="n"/>
      <c r="B189" s="24" t="n"/>
      <c r="C189" s="24" t="n"/>
      <c r="D189" s="24" t="n"/>
      <c r="E189" s="24" t="n"/>
      <c r="F189" s="24" t="n"/>
      <c r="G189" s="23">
        <f>IF(OR(E189="",F189=""),"",E189*F189)</f>
        <v/>
      </c>
      <c r="H189" s="24" t="n"/>
      <c r="I189" s="24" t="n"/>
    </row>
    <row r="190">
      <c r="A190" s="24" t="n"/>
      <c r="B190" s="24" t="n"/>
      <c r="C190" s="24" t="n"/>
      <c r="D190" s="24" t="n"/>
      <c r="E190" s="24" t="n"/>
      <c r="F190" s="24" t="n"/>
      <c r="G190" s="19">
        <f>IF(OR(E190="",F190=""),"",E190*F190)</f>
        <v/>
      </c>
      <c r="H190" s="24" t="n"/>
      <c r="I190" s="24" t="n"/>
    </row>
    <row r="191">
      <c r="A191" s="24" t="n"/>
      <c r="B191" s="24" t="n"/>
      <c r="C191" s="24" t="n"/>
      <c r="D191" s="24" t="n"/>
      <c r="E191" s="24" t="n"/>
      <c r="F191" s="24" t="n"/>
      <c r="G191" s="23">
        <f>IF(OR(E191="",F191=""),"",E191*F191)</f>
        <v/>
      </c>
      <c r="H191" s="24" t="n"/>
      <c r="I191" s="24" t="n"/>
    </row>
    <row r="192">
      <c r="A192" s="24" t="n"/>
      <c r="B192" s="24" t="n"/>
      <c r="C192" s="24" t="n"/>
      <c r="D192" s="24" t="n"/>
      <c r="E192" s="24" t="n"/>
      <c r="F192" s="24" t="n"/>
      <c r="G192" s="19">
        <f>IF(OR(E192="",F192=""),"",E192*F192)</f>
        <v/>
      </c>
      <c r="H192" s="24" t="n"/>
      <c r="I192" s="24" t="n"/>
    </row>
    <row r="193">
      <c r="A193" s="24" t="n"/>
      <c r="B193" s="24" t="n"/>
      <c r="C193" s="24" t="n"/>
      <c r="D193" s="24" t="n"/>
      <c r="E193" s="24" t="n"/>
      <c r="F193" s="24" t="n"/>
      <c r="G193" s="23">
        <f>IF(OR(E193="",F193=""),"",E193*F193)</f>
        <v/>
      </c>
      <c r="H193" s="24" t="n"/>
      <c r="I193" s="24" t="n"/>
    </row>
    <row r="194">
      <c r="A194" s="24" t="n"/>
      <c r="B194" s="24" t="n"/>
      <c r="C194" s="24" t="n"/>
      <c r="D194" s="24" t="n"/>
      <c r="E194" s="24" t="n"/>
      <c r="F194" s="24" t="n"/>
      <c r="G194" s="19">
        <f>IF(OR(E194="",F194=""),"",E194*F194)</f>
        <v/>
      </c>
      <c r="H194" s="24" t="n"/>
      <c r="I194" s="24" t="n"/>
    </row>
    <row r="195">
      <c r="A195" s="24" t="n"/>
      <c r="B195" s="24" t="n"/>
      <c r="C195" s="24" t="n"/>
      <c r="D195" s="24" t="n"/>
      <c r="E195" s="24" t="n"/>
      <c r="F195" s="24" t="n"/>
      <c r="G195" s="23">
        <f>IF(OR(E195="",F195=""),"",E195*F195)</f>
        <v/>
      </c>
      <c r="H195" s="24" t="n"/>
      <c r="I195" s="24" t="n"/>
    </row>
    <row r="196">
      <c r="A196" s="24" t="n"/>
      <c r="B196" s="24" t="n"/>
      <c r="C196" s="24" t="n"/>
      <c r="D196" s="24" t="n"/>
      <c r="E196" s="24" t="n"/>
      <c r="F196" s="24" t="n"/>
      <c r="G196" s="19">
        <f>IF(OR(E196="",F196=""),"",E196*F196)</f>
        <v/>
      </c>
      <c r="H196" s="24" t="n"/>
      <c r="I196" s="24" t="n"/>
    </row>
    <row r="197">
      <c r="A197" s="24" t="n"/>
      <c r="B197" s="24" t="n"/>
      <c r="C197" s="24" t="n"/>
      <c r="D197" s="24" t="n"/>
      <c r="E197" s="24" t="n"/>
      <c r="F197" s="24" t="n"/>
      <c r="G197" s="23">
        <f>IF(OR(E197="",F197=""),"",E197*F197)</f>
        <v/>
      </c>
      <c r="H197" s="24" t="n"/>
      <c r="I197" s="24" t="n"/>
    </row>
    <row r="198">
      <c r="A198" s="24" t="n"/>
      <c r="B198" s="24" t="n"/>
      <c r="C198" s="24" t="n"/>
      <c r="D198" s="24" t="n"/>
      <c r="E198" s="24" t="n"/>
      <c r="F198" s="24" t="n"/>
      <c r="G198" s="19">
        <f>IF(OR(E198="",F198=""),"",E198*F198)</f>
        <v/>
      </c>
      <c r="H198" s="24" t="n"/>
      <c r="I198" s="24" t="n"/>
    </row>
    <row r="199">
      <c r="A199" s="24" t="n"/>
      <c r="B199" s="24" t="n"/>
      <c r="C199" s="24" t="n"/>
      <c r="D199" s="24" t="n"/>
      <c r="E199" s="24" t="n"/>
      <c r="F199" s="24" t="n"/>
      <c r="G199" s="23">
        <f>IF(OR(E199="",F199=""),"",E199*F199)</f>
        <v/>
      </c>
      <c r="H199" s="24" t="n"/>
      <c r="I199" s="24" t="n"/>
    </row>
    <row r="200">
      <c r="A200" s="24" t="n"/>
      <c r="B200" s="24" t="n"/>
      <c r="C200" s="24" t="n"/>
      <c r="D200" s="24" t="n"/>
      <c r="E200" s="24" t="n"/>
      <c r="F200" s="24" t="n"/>
      <c r="G200" s="19">
        <f>IF(OR(E200="",F200=""),"",E200*F200)</f>
        <v/>
      </c>
      <c r="H200" s="24" t="n"/>
      <c r="I200" s="24" t="n"/>
    </row>
    <row r="201">
      <c r="A201" s="24" t="n"/>
      <c r="B201" s="24" t="n"/>
      <c r="C201" s="24" t="n"/>
      <c r="D201" s="24" t="n"/>
      <c r="E201" s="24" t="n"/>
      <c r="F201" s="24" t="n"/>
      <c r="G201" s="23">
        <f>IF(OR(E201="",F201=""),"",E201*F201)</f>
        <v/>
      </c>
      <c r="H201" s="24" t="n"/>
      <c r="I201" s="24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DD7A"/>
  <conditionalFormatting sqref="G2:G201">
    <cfRule type="cellIs" priority="1" operator="greaterThan" dxfId="0">
      <formula>100</formula>
    </cfRule>
  </conditionalFormatting>
  <dataValidations count="2">
    <dataValidation sqref="C2:C201" showDropDown="0" showInputMessage="1" showErrorMessage="1" allowBlank="1" errorTitle="Invalid Category" error="Please select from the list" promptTitle="Category" prompt="Select a category" type="list">
      <formula1>"Food,Vegetables,Meat,Fish,Protein,Snacks,Drinks,Transport,Health,Supplements,Household,Electronics,Clothing,Entertainment,Other"</formula1>
    </dataValidation>
    <dataValidation sqref="H2:H201" showDropDown="0" showInputMessage="0" showErrorMessage="1" allowBlank="1" errorTitle="Invalid Payment Method" error="Please select from the list" type="list">
      <formula1>"Cash,Card,TWINT,Bank Transfer"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N33"/>
  <sheetViews>
    <sheetView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42" customHeight="1">
      <c r="A1" s="25" t="inlineStr">
        <is>
          <t>Monthly Expense Summary</t>
        </is>
      </c>
    </row>
    <row r="2" ht="30" customHeight="1">
      <c r="A2" s="26" t="inlineStr">
        <is>
          <t>Month</t>
        </is>
      </c>
      <c r="B2" s="26" t="inlineStr">
        <is>
          <t>Total Spending</t>
        </is>
      </c>
      <c r="C2" s="26" t="inlineStr">
        <is>
          <t>Transactions</t>
        </is>
      </c>
      <c r="D2" s="26" t="inlineStr">
        <is>
          <t>Avg Daily</t>
        </is>
      </c>
      <c r="E2" s="26" t="inlineStr">
        <is>
          <t>Highest Expense</t>
        </is>
      </c>
      <c r="F2" s="26" t="inlineStr">
        <is>
          <t>Budget</t>
        </is>
      </c>
      <c r="G2" s="26" t="inlineStr">
        <is>
          <t>% Used</t>
        </is>
      </c>
      <c r="H2" s="26" t="inlineStr">
        <is>
          <t>Status</t>
        </is>
      </c>
    </row>
    <row r="3" ht="20" customHeight="1">
      <c r="A3" s="27" t="inlineStr">
        <is>
          <t>Jan</t>
        </is>
      </c>
      <c r="B3" s="28">
        <f>SUMPRODUCT(('Daily Expenses'!$G$2:$G$201)*(MONTH('Daily Expenses'!$A$2:$A$201)=1)*(YEAR('Daily Expenses'!$A$2:$A$201)=YEAR(TODAY())))</f>
        <v/>
      </c>
      <c r="C3" s="27">
        <f>SUMPRODUCT((MONTH('Daily Expenses'!$A$2:$A$201)=1)*(YEAR('Daily Expenses'!$A$2:$A$201)=YEAR(TODAY()))*('Daily Expenses'!$G$2:$G$201&lt;&gt;""))</f>
        <v/>
      </c>
      <c r="D3" s="28">
        <f>IFERROR(B3/DAY(EOMONTH(DATE(YEAR(TODAY()),1,1),0)),0)</f>
        <v/>
      </c>
      <c r="E3" s="28">
        <f>IFERROR(MAXIFS('Daily Expenses'!$G$2:$G$201,'Daily Expenses'!$A$2:$A$201,"&gt;="&amp;DATE(YEAR(TODAY()),1,1),'Daily Expenses'!$A$2:$A$201,"&lt;"&amp;DATE(YEAR(TODAY()),1+1,1)),0)</f>
        <v/>
      </c>
      <c r="F3" s="28">
        <f>'Budget Tracking'!B5</f>
        <v/>
      </c>
      <c r="G3" s="29">
        <f>IFERROR(B3/F3,0)</f>
        <v/>
      </c>
      <c r="H3" s="27">
        <f>IF(G3&gt;1,"Over Budget ▲",IF(G3&gt;0.8,"Near Limit ⚠","On Track ✓"))</f>
        <v/>
      </c>
    </row>
    <row r="4" ht="20" customHeight="1">
      <c r="A4" s="30" t="inlineStr">
        <is>
          <t>Feb</t>
        </is>
      </c>
      <c r="B4" s="31">
        <f>SUMPRODUCT(('Daily Expenses'!$G$2:$G$201)*(MONTH('Daily Expenses'!$A$2:$A$201)=2)*(YEAR('Daily Expenses'!$A$2:$A$201)=YEAR(TODAY())))</f>
        <v/>
      </c>
      <c r="C4" s="30">
        <f>SUMPRODUCT((MONTH('Daily Expenses'!$A$2:$A$201)=2)*(YEAR('Daily Expenses'!$A$2:$A$201)=YEAR(TODAY()))*('Daily Expenses'!$G$2:$G$201&lt;&gt;""))</f>
        <v/>
      </c>
      <c r="D4" s="31">
        <f>IFERROR(B4/DAY(EOMONTH(DATE(YEAR(TODAY()),2,1),0)),0)</f>
        <v/>
      </c>
      <c r="E4" s="31">
        <f>IFERROR(MAXIFS('Daily Expenses'!$G$2:$G$201,'Daily Expenses'!$A$2:$A$201,"&gt;="&amp;DATE(YEAR(TODAY()),2,1),'Daily Expenses'!$A$2:$A$201,"&lt;"&amp;DATE(YEAR(TODAY()),2+1,1)),0)</f>
        <v/>
      </c>
      <c r="F4" s="31">
        <f>'Budget Tracking'!B5</f>
        <v/>
      </c>
      <c r="G4" s="32">
        <f>IFERROR(B4/F4,0)</f>
        <v/>
      </c>
      <c r="H4" s="30">
        <f>IF(G4&gt;1,"Over Budget ▲",IF(G4&gt;0.8,"Near Limit ⚠","On Track ✓"))</f>
        <v/>
      </c>
    </row>
    <row r="5" ht="20" customHeight="1">
      <c r="A5" s="27" t="inlineStr">
        <is>
          <t>Mar</t>
        </is>
      </c>
      <c r="B5" s="28">
        <f>SUMPRODUCT(('Daily Expenses'!$G$2:$G$201)*(MONTH('Daily Expenses'!$A$2:$A$201)=3)*(YEAR('Daily Expenses'!$A$2:$A$201)=YEAR(TODAY())))</f>
        <v/>
      </c>
      <c r="C5" s="27">
        <f>SUMPRODUCT((MONTH('Daily Expenses'!$A$2:$A$201)=3)*(YEAR('Daily Expenses'!$A$2:$A$201)=YEAR(TODAY()))*('Daily Expenses'!$G$2:$G$201&lt;&gt;""))</f>
        <v/>
      </c>
      <c r="D5" s="28">
        <f>IFERROR(B5/DAY(EOMONTH(DATE(YEAR(TODAY()),3,1),0)),0)</f>
        <v/>
      </c>
      <c r="E5" s="28">
        <f>IFERROR(MAXIFS('Daily Expenses'!$G$2:$G$201,'Daily Expenses'!$A$2:$A$201,"&gt;="&amp;DATE(YEAR(TODAY()),3,1),'Daily Expenses'!$A$2:$A$201,"&lt;"&amp;DATE(YEAR(TODAY()),3+1,1)),0)</f>
        <v/>
      </c>
      <c r="F5" s="28">
        <f>'Budget Tracking'!B5</f>
        <v/>
      </c>
      <c r="G5" s="29">
        <f>IFERROR(B5/F5,0)</f>
        <v/>
      </c>
      <c r="H5" s="27">
        <f>IF(G5&gt;1,"Over Budget ▲",IF(G5&gt;0.8,"Near Limit ⚠","On Track ✓"))</f>
        <v/>
      </c>
    </row>
    <row r="6" ht="20" customHeight="1">
      <c r="A6" s="30" t="inlineStr">
        <is>
          <t>Apr</t>
        </is>
      </c>
      <c r="B6" s="31">
        <f>SUMPRODUCT(('Daily Expenses'!$G$2:$G$201)*(MONTH('Daily Expenses'!$A$2:$A$201)=4)*(YEAR('Daily Expenses'!$A$2:$A$201)=YEAR(TODAY())))</f>
        <v/>
      </c>
      <c r="C6" s="30">
        <f>SUMPRODUCT((MONTH('Daily Expenses'!$A$2:$A$201)=4)*(YEAR('Daily Expenses'!$A$2:$A$201)=YEAR(TODAY()))*('Daily Expenses'!$G$2:$G$201&lt;&gt;""))</f>
        <v/>
      </c>
      <c r="D6" s="31">
        <f>IFERROR(B6/DAY(EOMONTH(DATE(YEAR(TODAY()),4,1),0)),0)</f>
        <v/>
      </c>
      <c r="E6" s="31">
        <f>IFERROR(MAXIFS('Daily Expenses'!$G$2:$G$201,'Daily Expenses'!$A$2:$A$201,"&gt;="&amp;DATE(YEAR(TODAY()),4,1),'Daily Expenses'!$A$2:$A$201,"&lt;"&amp;DATE(YEAR(TODAY()),4+1,1)),0)</f>
        <v/>
      </c>
      <c r="F6" s="31">
        <f>'Budget Tracking'!B5</f>
        <v/>
      </c>
      <c r="G6" s="32">
        <f>IFERROR(B6/F6,0)</f>
        <v/>
      </c>
      <c r="H6" s="30">
        <f>IF(G6&gt;1,"Over Budget ▲",IF(G6&gt;0.8,"Near Limit ⚠","On Track ✓"))</f>
        <v/>
      </c>
    </row>
    <row r="7" ht="20" customHeight="1">
      <c r="A7" s="27" t="inlineStr">
        <is>
          <t>May</t>
        </is>
      </c>
      <c r="B7" s="28">
        <f>SUMPRODUCT(('Daily Expenses'!$G$2:$G$201)*(MONTH('Daily Expenses'!$A$2:$A$201)=5)*(YEAR('Daily Expenses'!$A$2:$A$201)=YEAR(TODAY())))</f>
        <v/>
      </c>
      <c r="C7" s="27">
        <f>SUMPRODUCT((MONTH('Daily Expenses'!$A$2:$A$201)=5)*(YEAR('Daily Expenses'!$A$2:$A$201)=YEAR(TODAY()))*('Daily Expenses'!$G$2:$G$201&lt;&gt;""))</f>
        <v/>
      </c>
      <c r="D7" s="28">
        <f>IFERROR(B7/DAY(EOMONTH(DATE(YEAR(TODAY()),5,1),0)),0)</f>
        <v/>
      </c>
      <c r="E7" s="28">
        <f>IFERROR(MAXIFS('Daily Expenses'!$G$2:$G$201,'Daily Expenses'!$A$2:$A$201,"&gt;="&amp;DATE(YEAR(TODAY()),5,1),'Daily Expenses'!$A$2:$A$201,"&lt;"&amp;DATE(YEAR(TODAY()),5+1,1)),0)</f>
        <v/>
      </c>
      <c r="F7" s="28">
        <f>'Budget Tracking'!B5</f>
        <v/>
      </c>
      <c r="G7" s="29">
        <f>IFERROR(B7/F7,0)</f>
        <v/>
      </c>
      <c r="H7" s="27">
        <f>IF(G7&gt;1,"Over Budget ▲",IF(G7&gt;0.8,"Near Limit ⚠","On Track ✓"))</f>
        <v/>
      </c>
    </row>
    <row r="8" ht="20" customHeight="1">
      <c r="A8" s="30" t="inlineStr">
        <is>
          <t>Jun</t>
        </is>
      </c>
      <c r="B8" s="31">
        <f>SUMPRODUCT(('Daily Expenses'!$G$2:$G$201)*(MONTH('Daily Expenses'!$A$2:$A$201)=6)*(YEAR('Daily Expenses'!$A$2:$A$201)=YEAR(TODAY())))</f>
        <v/>
      </c>
      <c r="C8" s="30">
        <f>SUMPRODUCT((MONTH('Daily Expenses'!$A$2:$A$201)=6)*(YEAR('Daily Expenses'!$A$2:$A$201)=YEAR(TODAY()))*('Daily Expenses'!$G$2:$G$201&lt;&gt;""))</f>
        <v/>
      </c>
      <c r="D8" s="31">
        <f>IFERROR(B8/DAY(EOMONTH(DATE(YEAR(TODAY()),6,1),0)),0)</f>
        <v/>
      </c>
      <c r="E8" s="31">
        <f>IFERROR(MAXIFS('Daily Expenses'!$G$2:$G$201,'Daily Expenses'!$A$2:$A$201,"&gt;="&amp;DATE(YEAR(TODAY()),6,1),'Daily Expenses'!$A$2:$A$201,"&lt;"&amp;DATE(YEAR(TODAY()),6+1,1)),0)</f>
        <v/>
      </c>
      <c r="F8" s="31">
        <f>'Budget Tracking'!B5</f>
        <v/>
      </c>
      <c r="G8" s="32">
        <f>IFERROR(B8/F8,0)</f>
        <v/>
      </c>
      <c r="H8" s="30">
        <f>IF(G8&gt;1,"Over Budget ▲",IF(G8&gt;0.8,"Near Limit ⚠","On Track ✓"))</f>
        <v/>
      </c>
    </row>
    <row r="9" ht="20" customHeight="1">
      <c r="A9" s="27" t="inlineStr">
        <is>
          <t>Jul</t>
        </is>
      </c>
      <c r="B9" s="28">
        <f>SUMPRODUCT(('Daily Expenses'!$G$2:$G$201)*(MONTH('Daily Expenses'!$A$2:$A$201)=7)*(YEAR('Daily Expenses'!$A$2:$A$201)=YEAR(TODAY())))</f>
        <v/>
      </c>
      <c r="C9" s="27">
        <f>SUMPRODUCT((MONTH('Daily Expenses'!$A$2:$A$201)=7)*(YEAR('Daily Expenses'!$A$2:$A$201)=YEAR(TODAY()))*('Daily Expenses'!$G$2:$G$201&lt;&gt;""))</f>
        <v/>
      </c>
      <c r="D9" s="28">
        <f>IFERROR(B9/DAY(EOMONTH(DATE(YEAR(TODAY()),7,1),0)),0)</f>
        <v/>
      </c>
      <c r="E9" s="28">
        <f>IFERROR(MAXIFS('Daily Expenses'!$G$2:$G$201,'Daily Expenses'!$A$2:$A$201,"&gt;="&amp;DATE(YEAR(TODAY()),7,1),'Daily Expenses'!$A$2:$A$201,"&lt;"&amp;DATE(YEAR(TODAY()),7+1,1)),0)</f>
        <v/>
      </c>
      <c r="F9" s="28">
        <f>'Budget Tracking'!B5</f>
        <v/>
      </c>
      <c r="G9" s="29">
        <f>IFERROR(B9/F9,0)</f>
        <v/>
      </c>
      <c r="H9" s="27">
        <f>IF(G9&gt;1,"Over Budget ▲",IF(G9&gt;0.8,"Near Limit ⚠","On Track ✓"))</f>
        <v/>
      </c>
    </row>
    <row r="10" ht="20" customHeight="1">
      <c r="A10" s="30" t="inlineStr">
        <is>
          <t>Aug</t>
        </is>
      </c>
      <c r="B10" s="31">
        <f>SUMPRODUCT(('Daily Expenses'!$G$2:$G$201)*(MONTH('Daily Expenses'!$A$2:$A$201)=8)*(YEAR('Daily Expenses'!$A$2:$A$201)=YEAR(TODAY())))</f>
        <v/>
      </c>
      <c r="C10" s="30">
        <f>SUMPRODUCT((MONTH('Daily Expenses'!$A$2:$A$201)=8)*(YEAR('Daily Expenses'!$A$2:$A$201)=YEAR(TODAY()))*('Daily Expenses'!$G$2:$G$201&lt;&gt;""))</f>
        <v/>
      </c>
      <c r="D10" s="31">
        <f>IFERROR(B10/DAY(EOMONTH(DATE(YEAR(TODAY()),8,1),0)),0)</f>
        <v/>
      </c>
      <c r="E10" s="31">
        <f>IFERROR(MAXIFS('Daily Expenses'!$G$2:$G$201,'Daily Expenses'!$A$2:$A$201,"&gt;="&amp;DATE(YEAR(TODAY()),8,1),'Daily Expenses'!$A$2:$A$201,"&lt;"&amp;DATE(YEAR(TODAY()),8+1,1)),0)</f>
        <v/>
      </c>
      <c r="F10" s="31">
        <f>'Budget Tracking'!B5</f>
        <v/>
      </c>
      <c r="G10" s="32">
        <f>IFERROR(B10/F10,0)</f>
        <v/>
      </c>
      <c r="H10" s="30">
        <f>IF(G10&gt;1,"Over Budget ▲",IF(G10&gt;0.8,"Near Limit ⚠","On Track ✓"))</f>
        <v/>
      </c>
    </row>
    <row r="11" ht="20" customHeight="1">
      <c r="A11" s="27" t="inlineStr">
        <is>
          <t>Sep</t>
        </is>
      </c>
      <c r="B11" s="28">
        <f>SUMPRODUCT(('Daily Expenses'!$G$2:$G$201)*(MONTH('Daily Expenses'!$A$2:$A$201)=9)*(YEAR('Daily Expenses'!$A$2:$A$201)=YEAR(TODAY())))</f>
        <v/>
      </c>
      <c r="C11" s="27">
        <f>SUMPRODUCT((MONTH('Daily Expenses'!$A$2:$A$201)=9)*(YEAR('Daily Expenses'!$A$2:$A$201)=YEAR(TODAY()))*('Daily Expenses'!$G$2:$G$201&lt;&gt;""))</f>
        <v/>
      </c>
      <c r="D11" s="28">
        <f>IFERROR(B11/DAY(EOMONTH(DATE(YEAR(TODAY()),9,1),0)),0)</f>
        <v/>
      </c>
      <c r="E11" s="28">
        <f>IFERROR(MAXIFS('Daily Expenses'!$G$2:$G$201,'Daily Expenses'!$A$2:$A$201,"&gt;="&amp;DATE(YEAR(TODAY()),9,1),'Daily Expenses'!$A$2:$A$201,"&lt;"&amp;DATE(YEAR(TODAY()),9+1,1)),0)</f>
        <v/>
      </c>
      <c r="F11" s="28">
        <f>'Budget Tracking'!B5</f>
        <v/>
      </c>
      <c r="G11" s="29">
        <f>IFERROR(B11/F11,0)</f>
        <v/>
      </c>
      <c r="H11" s="27">
        <f>IF(G11&gt;1,"Over Budget ▲",IF(G11&gt;0.8,"Near Limit ⚠","On Track ✓"))</f>
        <v/>
      </c>
    </row>
    <row r="12" ht="20" customHeight="1">
      <c r="A12" s="30" t="inlineStr">
        <is>
          <t>Oct</t>
        </is>
      </c>
      <c r="B12" s="31">
        <f>SUMPRODUCT(('Daily Expenses'!$G$2:$G$201)*(MONTH('Daily Expenses'!$A$2:$A$201)=10)*(YEAR('Daily Expenses'!$A$2:$A$201)=YEAR(TODAY())))</f>
        <v/>
      </c>
      <c r="C12" s="30">
        <f>SUMPRODUCT((MONTH('Daily Expenses'!$A$2:$A$201)=10)*(YEAR('Daily Expenses'!$A$2:$A$201)=YEAR(TODAY()))*('Daily Expenses'!$G$2:$G$201&lt;&gt;""))</f>
        <v/>
      </c>
      <c r="D12" s="31">
        <f>IFERROR(B12/DAY(EOMONTH(DATE(YEAR(TODAY()),10,1),0)),0)</f>
        <v/>
      </c>
      <c r="E12" s="31">
        <f>IFERROR(MAXIFS('Daily Expenses'!$G$2:$G$201,'Daily Expenses'!$A$2:$A$201,"&gt;="&amp;DATE(YEAR(TODAY()),10,1),'Daily Expenses'!$A$2:$A$201,"&lt;"&amp;DATE(YEAR(TODAY()),10+1,1)),0)</f>
        <v/>
      </c>
      <c r="F12" s="31">
        <f>'Budget Tracking'!B5</f>
        <v/>
      </c>
      <c r="G12" s="32">
        <f>IFERROR(B12/F12,0)</f>
        <v/>
      </c>
      <c r="H12" s="30">
        <f>IF(G12&gt;1,"Over Budget ▲",IF(G12&gt;0.8,"Near Limit ⚠","On Track ✓"))</f>
        <v/>
      </c>
    </row>
    <row r="13" ht="20" customHeight="1">
      <c r="A13" s="27" t="inlineStr">
        <is>
          <t>Nov</t>
        </is>
      </c>
      <c r="B13" s="28">
        <f>SUMPRODUCT(('Daily Expenses'!$G$2:$G$201)*(MONTH('Daily Expenses'!$A$2:$A$201)=11)*(YEAR('Daily Expenses'!$A$2:$A$201)=YEAR(TODAY())))</f>
        <v/>
      </c>
      <c r="C13" s="27">
        <f>SUMPRODUCT((MONTH('Daily Expenses'!$A$2:$A$201)=11)*(YEAR('Daily Expenses'!$A$2:$A$201)=YEAR(TODAY()))*('Daily Expenses'!$G$2:$G$201&lt;&gt;""))</f>
        <v/>
      </c>
      <c r="D13" s="28">
        <f>IFERROR(B13/DAY(EOMONTH(DATE(YEAR(TODAY()),11,1),0)),0)</f>
        <v/>
      </c>
      <c r="E13" s="28">
        <f>IFERROR(MAXIFS('Daily Expenses'!$G$2:$G$201,'Daily Expenses'!$A$2:$A$201,"&gt;="&amp;DATE(YEAR(TODAY()),11,1),'Daily Expenses'!$A$2:$A$201,"&lt;"&amp;DATE(YEAR(TODAY()),11+1,1)),0)</f>
        <v/>
      </c>
      <c r="F13" s="28">
        <f>'Budget Tracking'!B5</f>
        <v/>
      </c>
      <c r="G13" s="29">
        <f>IFERROR(B13/F13,0)</f>
        <v/>
      </c>
      <c r="H13" s="27">
        <f>IF(G13&gt;1,"Over Budget ▲",IF(G13&gt;0.8,"Near Limit ⚠","On Track ✓"))</f>
        <v/>
      </c>
    </row>
    <row r="14" ht="20" customHeight="1">
      <c r="A14" s="30" t="inlineStr">
        <is>
          <t>Dec</t>
        </is>
      </c>
      <c r="B14" s="31">
        <f>SUMPRODUCT(('Daily Expenses'!$G$2:$G$201)*(MONTH('Daily Expenses'!$A$2:$A$201)=12)*(YEAR('Daily Expenses'!$A$2:$A$201)=YEAR(TODAY())))</f>
        <v/>
      </c>
      <c r="C14" s="30">
        <f>SUMPRODUCT((MONTH('Daily Expenses'!$A$2:$A$201)=12)*(YEAR('Daily Expenses'!$A$2:$A$201)=YEAR(TODAY()))*('Daily Expenses'!$G$2:$G$201&lt;&gt;""))</f>
        <v/>
      </c>
      <c r="D14" s="31">
        <f>IFERROR(B14/DAY(EOMONTH(DATE(YEAR(TODAY()),12,1),0)),0)</f>
        <v/>
      </c>
      <c r="E14" s="31">
        <f>IFERROR(MAXIFS('Daily Expenses'!$G$2:$G$201,'Daily Expenses'!$A$2:$A$201,"&gt;="&amp;DATE(YEAR(TODAY()),12,1),'Daily Expenses'!$A$2:$A$201,"&lt;"&amp;DATE(YEAR(TODAY()),12+1,1)),0)</f>
        <v/>
      </c>
      <c r="F14" s="31">
        <f>'Budget Tracking'!B5</f>
        <v/>
      </c>
      <c r="G14" s="32">
        <f>IFERROR(B14/F14,0)</f>
        <v/>
      </c>
      <c r="H14" s="30">
        <f>IF(G14&gt;1,"Over Budget ▲",IF(G14&gt;0.8,"Near Limit ⚠","On Track ✓"))</f>
        <v/>
      </c>
    </row>
    <row r="15" ht="22" customHeight="1">
      <c r="A15" s="33" t="inlineStr">
        <is>
          <t>TOTAL</t>
        </is>
      </c>
      <c r="B15" s="34">
        <f>SUM(B3:B14)</f>
        <v/>
      </c>
      <c r="C15" s="33">
        <f>SUM(C3:C14)</f>
        <v/>
      </c>
      <c r="D15" s="34">
        <f>IFERROR(B15/SUMPRODUCT((B3:B14&gt;0)*DAY(EOMONTH(DATE(YEAR(TODAY()),ROW(INDIRECT("1:12")),1),0))),0)</f>
        <v/>
      </c>
      <c r="E15" s="34">
        <f>MAX(E3:E14)</f>
        <v/>
      </c>
      <c r="F15" s="33" t="n"/>
      <c r="G15" s="33" t="n"/>
      <c r="H15" s="33" t="n"/>
    </row>
    <row r="17" ht="20" customHeight="1">
      <c r="A17" s="35" t="inlineStr">
        <is>
          <t>Category Breakdown by Month</t>
        </is>
      </c>
    </row>
    <row r="18" ht="30" customHeight="1">
      <c r="A18" s="36" t="inlineStr">
        <is>
          <t>Category</t>
        </is>
      </c>
      <c r="B18" s="36" t="inlineStr">
        <is>
          <t>Jan</t>
        </is>
      </c>
      <c r="C18" s="36" t="inlineStr">
        <is>
          <t>Feb</t>
        </is>
      </c>
      <c r="D18" s="36" t="inlineStr">
        <is>
          <t>Mar</t>
        </is>
      </c>
      <c r="E18" s="36" t="inlineStr">
        <is>
          <t>Apr</t>
        </is>
      </c>
      <c r="F18" s="36" t="inlineStr">
        <is>
          <t>May</t>
        </is>
      </c>
      <c r="G18" s="36" t="inlineStr">
        <is>
          <t>Jun</t>
        </is>
      </c>
      <c r="H18" s="36" t="inlineStr">
        <is>
          <t>Jul</t>
        </is>
      </c>
      <c r="I18" s="36" t="inlineStr">
        <is>
          <t>Aug</t>
        </is>
      </c>
      <c r="J18" s="36" t="inlineStr">
        <is>
          <t>Sep</t>
        </is>
      </c>
      <c r="K18" s="36" t="inlineStr">
        <is>
          <t>Oct</t>
        </is>
      </c>
      <c r="L18" s="36" t="inlineStr">
        <is>
          <t>Nov</t>
        </is>
      </c>
      <c r="M18" s="36" t="inlineStr">
        <is>
          <t>Dec</t>
        </is>
      </c>
    </row>
    <row r="19" ht="18" customHeight="1">
      <c r="A19" s="37" t="inlineStr">
        <is>
          <t>Food</t>
        </is>
      </c>
      <c r="B19" s="38">
        <f>SUMPRODUCT(('Daily Expenses'!$G$2:$G$201)*(MONTH('Daily Expenses'!$A$2:$A$201)=1)*(YEAR('Daily Expenses'!$A$2:$A$201)=YEAR(TODAY()))*('Daily Expenses'!$C$2:$C$201="Food"))</f>
        <v/>
      </c>
      <c r="C19" s="38">
        <f>SUMPRODUCT(('Daily Expenses'!$G$2:$G$201)*(MONTH('Daily Expenses'!$A$2:$A$201)=2)*(YEAR('Daily Expenses'!$A$2:$A$201)=YEAR(TODAY()))*('Daily Expenses'!$C$2:$C$201="Food"))</f>
        <v/>
      </c>
      <c r="D19" s="38">
        <f>SUMPRODUCT(('Daily Expenses'!$G$2:$G$201)*(MONTH('Daily Expenses'!$A$2:$A$201)=3)*(YEAR('Daily Expenses'!$A$2:$A$201)=YEAR(TODAY()))*('Daily Expenses'!$C$2:$C$201="Food"))</f>
        <v/>
      </c>
      <c r="E19" s="38">
        <f>SUMPRODUCT(('Daily Expenses'!$G$2:$G$201)*(MONTH('Daily Expenses'!$A$2:$A$201)=4)*(YEAR('Daily Expenses'!$A$2:$A$201)=YEAR(TODAY()))*('Daily Expenses'!$C$2:$C$201="Food"))</f>
        <v/>
      </c>
      <c r="F19" s="38">
        <f>SUMPRODUCT(('Daily Expenses'!$G$2:$G$201)*(MONTH('Daily Expenses'!$A$2:$A$201)=5)*(YEAR('Daily Expenses'!$A$2:$A$201)=YEAR(TODAY()))*('Daily Expenses'!$C$2:$C$201="Food"))</f>
        <v/>
      </c>
      <c r="G19" s="38">
        <f>SUMPRODUCT(('Daily Expenses'!$G$2:$G$201)*(MONTH('Daily Expenses'!$A$2:$A$201)=6)*(YEAR('Daily Expenses'!$A$2:$A$201)=YEAR(TODAY()))*('Daily Expenses'!$C$2:$C$201="Food"))</f>
        <v/>
      </c>
      <c r="H19" s="38">
        <f>SUMPRODUCT(('Daily Expenses'!$G$2:$G$201)*(MONTH('Daily Expenses'!$A$2:$A$201)=7)*(YEAR('Daily Expenses'!$A$2:$A$201)=YEAR(TODAY()))*('Daily Expenses'!$C$2:$C$201="Food"))</f>
        <v/>
      </c>
      <c r="I19" s="38">
        <f>SUMPRODUCT(('Daily Expenses'!$G$2:$G$201)*(MONTH('Daily Expenses'!$A$2:$A$201)=8)*(YEAR('Daily Expenses'!$A$2:$A$201)=YEAR(TODAY()))*('Daily Expenses'!$C$2:$C$201="Food"))</f>
        <v/>
      </c>
      <c r="J19" s="38">
        <f>SUMPRODUCT(('Daily Expenses'!$G$2:$G$201)*(MONTH('Daily Expenses'!$A$2:$A$201)=9)*(YEAR('Daily Expenses'!$A$2:$A$201)=YEAR(TODAY()))*('Daily Expenses'!$C$2:$C$201="Food"))</f>
        <v/>
      </c>
      <c r="K19" s="38">
        <f>SUMPRODUCT(('Daily Expenses'!$G$2:$G$201)*(MONTH('Daily Expenses'!$A$2:$A$201)=10)*(YEAR('Daily Expenses'!$A$2:$A$201)=YEAR(TODAY()))*('Daily Expenses'!$C$2:$C$201="Food"))</f>
        <v/>
      </c>
      <c r="L19" s="38">
        <f>SUMPRODUCT(('Daily Expenses'!$G$2:$G$201)*(MONTH('Daily Expenses'!$A$2:$A$201)=11)*(YEAR('Daily Expenses'!$A$2:$A$201)=YEAR(TODAY()))*('Daily Expenses'!$C$2:$C$201="Food"))</f>
        <v/>
      </c>
      <c r="M19" s="38">
        <f>SUMPRODUCT(('Daily Expenses'!$G$2:$G$201)*(MONTH('Daily Expenses'!$A$2:$A$201)=12)*(YEAR('Daily Expenses'!$A$2:$A$201)=YEAR(TODAY()))*('Daily Expenses'!$C$2:$C$201="Food"))</f>
        <v/>
      </c>
    </row>
    <row r="20" ht="18" customHeight="1">
      <c r="A20" s="37" t="inlineStr">
        <is>
          <t>Vegetables</t>
        </is>
      </c>
      <c r="B20" s="39">
        <f>SUMPRODUCT(('Daily Expenses'!$G$2:$G$201)*(MONTH('Daily Expenses'!$A$2:$A$201)=1)*(YEAR('Daily Expenses'!$A$2:$A$201)=YEAR(TODAY()))*('Daily Expenses'!$C$2:$C$201="Vegetables"))</f>
        <v/>
      </c>
      <c r="C20" s="39">
        <f>SUMPRODUCT(('Daily Expenses'!$G$2:$G$201)*(MONTH('Daily Expenses'!$A$2:$A$201)=2)*(YEAR('Daily Expenses'!$A$2:$A$201)=YEAR(TODAY()))*('Daily Expenses'!$C$2:$C$201="Vegetables"))</f>
        <v/>
      </c>
      <c r="D20" s="39">
        <f>SUMPRODUCT(('Daily Expenses'!$G$2:$G$201)*(MONTH('Daily Expenses'!$A$2:$A$201)=3)*(YEAR('Daily Expenses'!$A$2:$A$201)=YEAR(TODAY()))*('Daily Expenses'!$C$2:$C$201="Vegetables"))</f>
        <v/>
      </c>
      <c r="E20" s="39">
        <f>SUMPRODUCT(('Daily Expenses'!$G$2:$G$201)*(MONTH('Daily Expenses'!$A$2:$A$201)=4)*(YEAR('Daily Expenses'!$A$2:$A$201)=YEAR(TODAY()))*('Daily Expenses'!$C$2:$C$201="Vegetables"))</f>
        <v/>
      </c>
      <c r="F20" s="39">
        <f>SUMPRODUCT(('Daily Expenses'!$G$2:$G$201)*(MONTH('Daily Expenses'!$A$2:$A$201)=5)*(YEAR('Daily Expenses'!$A$2:$A$201)=YEAR(TODAY()))*('Daily Expenses'!$C$2:$C$201="Vegetables"))</f>
        <v/>
      </c>
      <c r="G20" s="39">
        <f>SUMPRODUCT(('Daily Expenses'!$G$2:$G$201)*(MONTH('Daily Expenses'!$A$2:$A$201)=6)*(YEAR('Daily Expenses'!$A$2:$A$201)=YEAR(TODAY()))*('Daily Expenses'!$C$2:$C$201="Vegetables"))</f>
        <v/>
      </c>
      <c r="H20" s="39">
        <f>SUMPRODUCT(('Daily Expenses'!$G$2:$G$201)*(MONTH('Daily Expenses'!$A$2:$A$201)=7)*(YEAR('Daily Expenses'!$A$2:$A$201)=YEAR(TODAY()))*('Daily Expenses'!$C$2:$C$201="Vegetables"))</f>
        <v/>
      </c>
      <c r="I20" s="39">
        <f>SUMPRODUCT(('Daily Expenses'!$G$2:$G$201)*(MONTH('Daily Expenses'!$A$2:$A$201)=8)*(YEAR('Daily Expenses'!$A$2:$A$201)=YEAR(TODAY()))*('Daily Expenses'!$C$2:$C$201="Vegetables"))</f>
        <v/>
      </c>
      <c r="J20" s="39">
        <f>SUMPRODUCT(('Daily Expenses'!$G$2:$G$201)*(MONTH('Daily Expenses'!$A$2:$A$201)=9)*(YEAR('Daily Expenses'!$A$2:$A$201)=YEAR(TODAY()))*('Daily Expenses'!$C$2:$C$201="Vegetables"))</f>
        <v/>
      </c>
      <c r="K20" s="39">
        <f>SUMPRODUCT(('Daily Expenses'!$G$2:$G$201)*(MONTH('Daily Expenses'!$A$2:$A$201)=10)*(YEAR('Daily Expenses'!$A$2:$A$201)=YEAR(TODAY()))*('Daily Expenses'!$C$2:$C$201="Vegetables"))</f>
        <v/>
      </c>
      <c r="L20" s="39">
        <f>SUMPRODUCT(('Daily Expenses'!$G$2:$G$201)*(MONTH('Daily Expenses'!$A$2:$A$201)=11)*(YEAR('Daily Expenses'!$A$2:$A$201)=YEAR(TODAY()))*('Daily Expenses'!$C$2:$C$201="Vegetables"))</f>
        <v/>
      </c>
      <c r="M20" s="39">
        <f>SUMPRODUCT(('Daily Expenses'!$G$2:$G$201)*(MONTH('Daily Expenses'!$A$2:$A$201)=12)*(YEAR('Daily Expenses'!$A$2:$A$201)=YEAR(TODAY()))*('Daily Expenses'!$C$2:$C$201="Vegetables"))</f>
        <v/>
      </c>
    </row>
    <row r="21" ht="18" customHeight="1">
      <c r="A21" s="37" t="inlineStr">
        <is>
          <t>Meat</t>
        </is>
      </c>
      <c r="B21" s="38">
        <f>SUMPRODUCT(('Daily Expenses'!$G$2:$G$201)*(MONTH('Daily Expenses'!$A$2:$A$201)=1)*(YEAR('Daily Expenses'!$A$2:$A$201)=YEAR(TODAY()))*('Daily Expenses'!$C$2:$C$201="Meat"))</f>
        <v/>
      </c>
      <c r="C21" s="38">
        <f>SUMPRODUCT(('Daily Expenses'!$G$2:$G$201)*(MONTH('Daily Expenses'!$A$2:$A$201)=2)*(YEAR('Daily Expenses'!$A$2:$A$201)=YEAR(TODAY()))*('Daily Expenses'!$C$2:$C$201="Meat"))</f>
        <v/>
      </c>
      <c r="D21" s="38">
        <f>SUMPRODUCT(('Daily Expenses'!$G$2:$G$201)*(MONTH('Daily Expenses'!$A$2:$A$201)=3)*(YEAR('Daily Expenses'!$A$2:$A$201)=YEAR(TODAY()))*('Daily Expenses'!$C$2:$C$201="Meat"))</f>
        <v/>
      </c>
      <c r="E21" s="38">
        <f>SUMPRODUCT(('Daily Expenses'!$G$2:$G$201)*(MONTH('Daily Expenses'!$A$2:$A$201)=4)*(YEAR('Daily Expenses'!$A$2:$A$201)=YEAR(TODAY()))*('Daily Expenses'!$C$2:$C$201="Meat"))</f>
        <v/>
      </c>
      <c r="F21" s="38">
        <f>SUMPRODUCT(('Daily Expenses'!$G$2:$G$201)*(MONTH('Daily Expenses'!$A$2:$A$201)=5)*(YEAR('Daily Expenses'!$A$2:$A$201)=YEAR(TODAY()))*('Daily Expenses'!$C$2:$C$201="Meat"))</f>
        <v/>
      </c>
      <c r="G21" s="38">
        <f>SUMPRODUCT(('Daily Expenses'!$G$2:$G$201)*(MONTH('Daily Expenses'!$A$2:$A$201)=6)*(YEAR('Daily Expenses'!$A$2:$A$201)=YEAR(TODAY()))*('Daily Expenses'!$C$2:$C$201="Meat"))</f>
        <v/>
      </c>
      <c r="H21" s="38">
        <f>SUMPRODUCT(('Daily Expenses'!$G$2:$G$201)*(MONTH('Daily Expenses'!$A$2:$A$201)=7)*(YEAR('Daily Expenses'!$A$2:$A$201)=YEAR(TODAY()))*('Daily Expenses'!$C$2:$C$201="Meat"))</f>
        <v/>
      </c>
      <c r="I21" s="38">
        <f>SUMPRODUCT(('Daily Expenses'!$G$2:$G$201)*(MONTH('Daily Expenses'!$A$2:$A$201)=8)*(YEAR('Daily Expenses'!$A$2:$A$201)=YEAR(TODAY()))*('Daily Expenses'!$C$2:$C$201="Meat"))</f>
        <v/>
      </c>
      <c r="J21" s="38">
        <f>SUMPRODUCT(('Daily Expenses'!$G$2:$G$201)*(MONTH('Daily Expenses'!$A$2:$A$201)=9)*(YEAR('Daily Expenses'!$A$2:$A$201)=YEAR(TODAY()))*('Daily Expenses'!$C$2:$C$201="Meat"))</f>
        <v/>
      </c>
      <c r="K21" s="38">
        <f>SUMPRODUCT(('Daily Expenses'!$G$2:$G$201)*(MONTH('Daily Expenses'!$A$2:$A$201)=10)*(YEAR('Daily Expenses'!$A$2:$A$201)=YEAR(TODAY()))*('Daily Expenses'!$C$2:$C$201="Meat"))</f>
        <v/>
      </c>
      <c r="L21" s="38">
        <f>SUMPRODUCT(('Daily Expenses'!$G$2:$G$201)*(MONTH('Daily Expenses'!$A$2:$A$201)=11)*(YEAR('Daily Expenses'!$A$2:$A$201)=YEAR(TODAY()))*('Daily Expenses'!$C$2:$C$201="Meat"))</f>
        <v/>
      </c>
      <c r="M21" s="38">
        <f>SUMPRODUCT(('Daily Expenses'!$G$2:$G$201)*(MONTH('Daily Expenses'!$A$2:$A$201)=12)*(YEAR('Daily Expenses'!$A$2:$A$201)=YEAR(TODAY()))*('Daily Expenses'!$C$2:$C$201="Meat"))</f>
        <v/>
      </c>
    </row>
    <row r="22" ht="18" customHeight="1">
      <c r="A22" s="37" t="inlineStr">
        <is>
          <t>Fish</t>
        </is>
      </c>
      <c r="B22" s="39">
        <f>SUMPRODUCT(('Daily Expenses'!$G$2:$G$201)*(MONTH('Daily Expenses'!$A$2:$A$201)=1)*(YEAR('Daily Expenses'!$A$2:$A$201)=YEAR(TODAY()))*('Daily Expenses'!$C$2:$C$201="Fish"))</f>
        <v/>
      </c>
      <c r="C22" s="39">
        <f>SUMPRODUCT(('Daily Expenses'!$G$2:$G$201)*(MONTH('Daily Expenses'!$A$2:$A$201)=2)*(YEAR('Daily Expenses'!$A$2:$A$201)=YEAR(TODAY()))*('Daily Expenses'!$C$2:$C$201="Fish"))</f>
        <v/>
      </c>
      <c r="D22" s="39">
        <f>SUMPRODUCT(('Daily Expenses'!$G$2:$G$201)*(MONTH('Daily Expenses'!$A$2:$A$201)=3)*(YEAR('Daily Expenses'!$A$2:$A$201)=YEAR(TODAY()))*('Daily Expenses'!$C$2:$C$201="Fish"))</f>
        <v/>
      </c>
      <c r="E22" s="39">
        <f>SUMPRODUCT(('Daily Expenses'!$G$2:$G$201)*(MONTH('Daily Expenses'!$A$2:$A$201)=4)*(YEAR('Daily Expenses'!$A$2:$A$201)=YEAR(TODAY()))*('Daily Expenses'!$C$2:$C$201="Fish"))</f>
        <v/>
      </c>
      <c r="F22" s="39">
        <f>SUMPRODUCT(('Daily Expenses'!$G$2:$G$201)*(MONTH('Daily Expenses'!$A$2:$A$201)=5)*(YEAR('Daily Expenses'!$A$2:$A$201)=YEAR(TODAY()))*('Daily Expenses'!$C$2:$C$201="Fish"))</f>
        <v/>
      </c>
      <c r="G22" s="39">
        <f>SUMPRODUCT(('Daily Expenses'!$G$2:$G$201)*(MONTH('Daily Expenses'!$A$2:$A$201)=6)*(YEAR('Daily Expenses'!$A$2:$A$201)=YEAR(TODAY()))*('Daily Expenses'!$C$2:$C$201="Fish"))</f>
        <v/>
      </c>
      <c r="H22" s="39">
        <f>SUMPRODUCT(('Daily Expenses'!$G$2:$G$201)*(MONTH('Daily Expenses'!$A$2:$A$201)=7)*(YEAR('Daily Expenses'!$A$2:$A$201)=YEAR(TODAY()))*('Daily Expenses'!$C$2:$C$201="Fish"))</f>
        <v/>
      </c>
      <c r="I22" s="39">
        <f>SUMPRODUCT(('Daily Expenses'!$G$2:$G$201)*(MONTH('Daily Expenses'!$A$2:$A$201)=8)*(YEAR('Daily Expenses'!$A$2:$A$201)=YEAR(TODAY()))*('Daily Expenses'!$C$2:$C$201="Fish"))</f>
        <v/>
      </c>
      <c r="J22" s="39">
        <f>SUMPRODUCT(('Daily Expenses'!$G$2:$G$201)*(MONTH('Daily Expenses'!$A$2:$A$201)=9)*(YEAR('Daily Expenses'!$A$2:$A$201)=YEAR(TODAY()))*('Daily Expenses'!$C$2:$C$201="Fish"))</f>
        <v/>
      </c>
      <c r="K22" s="39">
        <f>SUMPRODUCT(('Daily Expenses'!$G$2:$G$201)*(MONTH('Daily Expenses'!$A$2:$A$201)=10)*(YEAR('Daily Expenses'!$A$2:$A$201)=YEAR(TODAY()))*('Daily Expenses'!$C$2:$C$201="Fish"))</f>
        <v/>
      </c>
      <c r="L22" s="39">
        <f>SUMPRODUCT(('Daily Expenses'!$G$2:$G$201)*(MONTH('Daily Expenses'!$A$2:$A$201)=11)*(YEAR('Daily Expenses'!$A$2:$A$201)=YEAR(TODAY()))*('Daily Expenses'!$C$2:$C$201="Fish"))</f>
        <v/>
      </c>
      <c r="M22" s="39">
        <f>SUMPRODUCT(('Daily Expenses'!$G$2:$G$201)*(MONTH('Daily Expenses'!$A$2:$A$201)=12)*(YEAR('Daily Expenses'!$A$2:$A$201)=YEAR(TODAY()))*('Daily Expenses'!$C$2:$C$201="Fish"))</f>
        <v/>
      </c>
    </row>
    <row r="23" ht="18" customHeight="1">
      <c r="A23" s="37" t="inlineStr">
        <is>
          <t>Protein</t>
        </is>
      </c>
      <c r="B23" s="38">
        <f>SUMPRODUCT(('Daily Expenses'!$G$2:$G$201)*(MONTH('Daily Expenses'!$A$2:$A$201)=1)*(YEAR('Daily Expenses'!$A$2:$A$201)=YEAR(TODAY()))*('Daily Expenses'!$C$2:$C$201="Protein"))</f>
        <v/>
      </c>
      <c r="C23" s="38">
        <f>SUMPRODUCT(('Daily Expenses'!$G$2:$G$201)*(MONTH('Daily Expenses'!$A$2:$A$201)=2)*(YEAR('Daily Expenses'!$A$2:$A$201)=YEAR(TODAY()))*('Daily Expenses'!$C$2:$C$201="Protein"))</f>
        <v/>
      </c>
      <c r="D23" s="38">
        <f>SUMPRODUCT(('Daily Expenses'!$G$2:$G$201)*(MONTH('Daily Expenses'!$A$2:$A$201)=3)*(YEAR('Daily Expenses'!$A$2:$A$201)=YEAR(TODAY()))*('Daily Expenses'!$C$2:$C$201="Protein"))</f>
        <v/>
      </c>
      <c r="E23" s="38">
        <f>SUMPRODUCT(('Daily Expenses'!$G$2:$G$201)*(MONTH('Daily Expenses'!$A$2:$A$201)=4)*(YEAR('Daily Expenses'!$A$2:$A$201)=YEAR(TODAY()))*('Daily Expenses'!$C$2:$C$201="Protein"))</f>
        <v/>
      </c>
      <c r="F23" s="38">
        <f>SUMPRODUCT(('Daily Expenses'!$G$2:$G$201)*(MONTH('Daily Expenses'!$A$2:$A$201)=5)*(YEAR('Daily Expenses'!$A$2:$A$201)=YEAR(TODAY()))*('Daily Expenses'!$C$2:$C$201="Protein"))</f>
        <v/>
      </c>
      <c r="G23" s="38">
        <f>SUMPRODUCT(('Daily Expenses'!$G$2:$G$201)*(MONTH('Daily Expenses'!$A$2:$A$201)=6)*(YEAR('Daily Expenses'!$A$2:$A$201)=YEAR(TODAY()))*('Daily Expenses'!$C$2:$C$201="Protein"))</f>
        <v/>
      </c>
      <c r="H23" s="38">
        <f>SUMPRODUCT(('Daily Expenses'!$G$2:$G$201)*(MONTH('Daily Expenses'!$A$2:$A$201)=7)*(YEAR('Daily Expenses'!$A$2:$A$201)=YEAR(TODAY()))*('Daily Expenses'!$C$2:$C$201="Protein"))</f>
        <v/>
      </c>
      <c r="I23" s="38">
        <f>SUMPRODUCT(('Daily Expenses'!$G$2:$G$201)*(MONTH('Daily Expenses'!$A$2:$A$201)=8)*(YEAR('Daily Expenses'!$A$2:$A$201)=YEAR(TODAY()))*('Daily Expenses'!$C$2:$C$201="Protein"))</f>
        <v/>
      </c>
      <c r="J23" s="38">
        <f>SUMPRODUCT(('Daily Expenses'!$G$2:$G$201)*(MONTH('Daily Expenses'!$A$2:$A$201)=9)*(YEAR('Daily Expenses'!$A$2:$A$201)=YEAR(TODAY()))*('Daily Expenses'!$C$2:$C$201="Protein"))</f>
        <v/>
      </c>
      <c r="K23" s="38">
        <f>SUMPRODUCT(('Daily Expenses'!$G$2:$G$201)*(MONTH('Daily Expenses'!$A$2:$A$201)=10)*(YEAR('Daily Expenses'!$A$2:$A$201)=YEAR(TODAY()))*('Daily Expenses'!$C$2:$C$201="Protein"))</f>
        <v/>
      </c>
      <c r="L23" s="38">
        <f>SUMPRODUCT(('Daily Expenses'!$G$2:$G$201)*(MONTH('Daily Expenses'!$A$2:$A$201)=11)*(YEAR('Daily Expenses'!$A$2:$A$201)=YEAR(TODAY()))*('Daily Expenses'!$C$2:$C$201="Protein"))</f>
        <v/>
      </c>
      <c r="M23" s="38">
        <f>SUMPRODUCT(('Daily Expenses'!$G$2:$G$201)*(MONTH('Daily Expenses'!$A$2:$A$201)=12)*(YEAR('Daily Expenses'!$A$2:$A$201)=YEAR(TODAY()))*('Daily Expenses'!$C$2:$C$201="Protein"))</f>
        <v/>
      </c>
    </row>
    <row r="24" ht="18" customHeight="1">
      <c r="A24" s="37" t="inlineStr">
        <is>
          <t>Snacks</t>
        </is>
      </c>
      <c r="B24" s="39">
        <f>SUMPRODUCT(('Daily Expenses'!$G$2:$G$201)*(MONTH('Daily Expenses'!$A$2:$A$201)=1)*(YEAR('Daily Expenses'!$A$2:$A$201)=YEAR(TODAY()))*('Daily Expenses'!$C$2:$C$201="Snacks"))</f>
        <v/>
      </c>
      <c r="C24" s="39">
        <f>SUMPRODUCT(('Daily Expenses'!$G$2:$G$201)*(MONTH('Daily Expenses'!$A$2:$A$201)=2)*(YEAR('Daily Expenses'!$A$2:$A$201)=YEAR(TODAY()))*('Daily Expenses'!$C$2:$C$201="Snacks"))</f>
        <v/>
      </c>
      <c r="D24" s="39">
        <f>SUMPRODUCT(('Daily Expenses'!$G$2:$G$201)*(MONTH('Daily Expenses'!$A$2:$A$201)=3)*(YEAR('Daily Expenses'!$A$2:$A$201)=YEAR(TODAY()))*('Daily Expenses'!$C$2:$C$201="Snacks"))</f>
        <v/>
      </c>
      <c r="E24" s="39">
        <f>SUMPRODUCT(('Daily Expenses'!$G$2:$G$201)*(MONTH('Daily Expenses'!$A$2:$A$201)=4)*(YEAR('Daily Expenses'!$A$2:$A$201)=YEAR(TODAY()))*('Daily Expenses'!$C$2:$C$201="Snacks"))</f>
        <v/>
      </c>
      <c r="F24" s="39">
        <f>SUMPRODUCT(('Daily Expenses'!$G$2:$G$201)*(MONTH('Daily Expenses'!$A$2:$A$201)=5)*(YEAR('Daily Expenses'!$A$2:$A$201)=YEAR(TODAY()))*('Daily Expenses'!$C$2:$C$201="Snacks"))</f>
        <v/>
      </c>
      <c r="G24" s="39">
        <f>SUMPRODUCT(('Daily Expenses'!$G$2:$G$201)*(MONTH('Daily Expenses'!$A$2:$A$201)=6)*(YEAR('Daily Expenses'!$A$2:$A$201)=YEAR(TODAY()))*('Daily Expenses'!$C$2:$C$201="Snacks"))</f>
        <v/>
      </c>
      <c r="H24" s="39">
        <f>SUMPRODUCT(('Daily Expenses'!$G$2:$G$201)*(MONTH('Daily Expenses'!$A$2:$A$201)=7)*(YEAR('Daily Expenses'!$A$2:$A$201)=YEAR(TODAY()))*('Daily Expenses'!$C$2:$C$201="Snacks"))</f>
        <v/>
      </c>
      <c r="I24" s="39">
        <f>SUMPRODUCT(('Daily Expenses'!$G$2:$G$201)*(MONTH('Daily Expenses'!$A$2:$A$201)=8)*(YEAR('Daily Expenses'!$A$2:$A$201)=YEAR(TODAY()))*('Daily Expenses'!$C$2:$C$201="Snacks"))</f>
        <v/>
      </c>
      <c r="J24" s="39">
        <f>SUMPRODUCT(('Daily Expenses'!$G$2:$G$201)*(MONTH('Daily Expenses'!$A$2:$A$201)=9)*(YEAR('Daily Expenses'!$A$2:$A$201)=YEAR(TODAY()))*('Daily Expenses'!$C$2:$C$201="Snacks"))</f>
        <v/>
      </c>
      <c r="K24" s="39">
        <f>SUMPRODUCT(('Daily Expenses'!$G$2:$G$201)*(MONTH('Daily Expenses'!$A$2:$A$201)=10)*(YEAR('Daily Expenses'!$A$2:$A$201)=YEAR(TODAY()))*('Daily Expenses'!$C$2:$C$201="Snacks"))</f>
        <v/>
      </c>
      <c r="L24" s="39">
        <f>SUMPRODUCT(('Daily Expenses'!$G$2:$G$201)*(MONTH('Daily Expenses'!$A$2:$A$201)=11)*(YEAR('Daily Expenses'!$A$2:$A$201)=YEAR(TODAY()))*('Daily Expenses'!$C$2:$C$201="Snacks"))</f>
        <v/>
      </c>
      <c r="M24" s="39">
        <f>SUMPRODUCT(('Daily Expenses'!$G$2:$G$201)*(MONTH('Daily Expenses'!$A$2:$A$201)=12)*(YEAR('Daily Expenses'!$A$2:$A$201)=YEAR(TODAY()))*('Daily Expenses'!$C$2:$C$201="Snacks"))</f>
        <v/>
      </c>
    </row>
    <row r="25" ht="18" customHeight="1">
      <c r="A25" s="37" t="inlineStr">
        <is>
          <t>Drinks</t>
        </is>
      </c>
      <c r="B25" s="38">
        <f>SUMPRODUCT(('Daily Expenses'!$G$2:$G$201)*(MONTH('Daily Expenses'!$A$2:$A$201)=1)*(YEAR('Daily Expenses'!$A$2:$A$201)=YEAR(TODAY()))*('Daily Expenses'!$C$2:$C$201="Drinks"))</f>
        <v/>
      </c>
      <c r="C25" s="38">
        <f>SUMPRODUCT(('Daily Expenses'!$G$2:$G$201)*(MONTH('Daily Expenses'!$A$2:$A$201)=2)*(YEAR('Daily Expenses'!$A$2:$A$201)=YEAR(TODAY()))*('Daily Expenses'!$C$2:$C$201="Drinks"))</f>
        <v/>
      </c>
      <c r="D25" s="38">
        <f>SUMPRODUCT(('Daily Expenses'!$G$2:$G$201)*(MONTH('Daily Expenses'!$A$2:$A$201)=3)*(YEAR('Daily Expenses'!$A$2:$A$201)=YEAR(TODAY()))*('Daily Expenses'!$C$2:$C$201="Drinks"))</f>
        <v/>
      </c>
      <c r="E25" s="38">
        <f>SUMPRODUCT(('Daily Expenses'!$G$2:$G$201)*(MONTH('Daily Expenses'!$A$2:$A$201)=4)*(YEAR('Daily Expenses'!$A$2:$A$201)=YEAR(TODAY()))*('Daily Expenses'!$C$2:$C$201="Drinks"))</f>
        <v/>
      </c>
      <c r="F25" s="38">
        <f>SUMPRODUCT(('Daily Expenses'!$G$2:$G$201)*(MONTH('Daily Expenses'!$A$2:$A$201)=5)*(YEAR('Daily Expenses'!$A$2:$A$201)=YEAR(TODAY()))*('Daily Expenses'!$C$2:$C$201="Drinks"))</f>
        <v/>
      </c>
      <c r="G25" s="38">
        <f>SUMPRODUCT(('Daily Expenses'!$G$2:$G$201)*(MONTH('Daily Expenses'!$A$2:$A$201)=6)*(YEAR('Daily Expenses'!$A$2:$A$201)=YEAR(TODAY()))*('Daily Expenses'!$C$2:$C$201="Drinks"))</f>
        <v/>
      </c>
      <c r="H25" s="38">
        <f>SUMPRODUCT(('Daily Expenses'!$G$2:$G$201)*(MONTH('Daily Expenses'!$A$2:$A$201)=7)*(YEAR('Daily Expenses'!$A$2:$A$201)=YEAR(TODAY()))*('Daily Expenses'!$C$2:$C$201="Drinks"))</f>
        <v/>
      </c>
      <c r="I25" s="38">
        <f>SUMPRODUCT(('Daily Expenses'!$G$2:$G$201)*(MONTH('Daily Expenses'!$A$2:$A$201)=8)*(YEAR('Daily Expenses'!$A$2:$A$201)=YEAR(TODAY()))*('Daily Expenses'!$C$2:$C$201="Drinks"))</f>
        <v/>
      </c>
      <c r="J25" s="38">
        <f>SUMPRODUCT(('Daily Expenses'!$G$2:$G$201)*(MONTH('Daily Expenses'!$A$2:$A$201)=9)*(YEAR('Daily Expenses'!$A$2:$A$201)=YEAR(TODAY()))*('Daily Expenses'!$C$2:$C$201="Drinks"))</f>
        <v/>
      </c>
      <c r="K25" s="38">
        <f>SUMPRODUCT(('Daily Expenses'!$G$2:$G$201)*(MONTH('Daily Expenses'!$A$2:$A$201)=10)*(YEAR('Daily Expenses'!$A$2:$A$201)=YEAR(TODAY()))*('Daily Expenses'!$C$2:$C$201="Drinks"))</f>
        <v/>
      </c>
      <c r="L25" s="38">
        <f>SUMPRODUCT(('Daily Expenses'!$G$2:$G$201)*(MONTH('Daily Expenses'!$A$2:$A$201)=11)*(YEAR('Daily Expenses'!$A$2:$A$201)=YEAR(TODAY()))*('Daily Expenses'!$C$2:$C$201="Drinks"))</f>
        <v/>
      </c>
      <c r="M25" s="38">
        <f>SUMPRODUCT(('Daily Expenses'!$G$2:$G$201)*(MONTH('Daily Expenses'!$A$2:$A$201)=12)*(YEAR('Daily Expenses'!$A$2:$A$201)=YEAR(TODAY()))*('Daily Expenses'!$C$2:$C$201="Drinks"))</f>
        <v/>
      </c>
    </row>
    <row r="26" ht="18" customHeight="1">
      <c r="A26" s="37" t="inlineStr">
        <is>
          <t>Transport</t>
        </is>
      </c>
      <c r="B26" s="39">
        <f>SUMPRODUCT(('Daily Expenses'!$G$2:$G$201)*(MONTH('Daily Expenses'!$A$2:$A$201)=1)*(YEAR('Daily Expenses'!$A$2:$A$201)=YEAR(TODAY()))*('Daily Expenses'!$C$2:$C$201="Transport"))</f>
        <v/>
      </c>
      <c r="C26" s="39">
        <f>SUMPRODUCT(('Daily Expenses'!$G$2:$G$201)*(MONTH('Daily Expenses'!$A$2:$A$201)=2)*(YEAR('Daily Expenses'!$A$2:$A$201)=YEAR(TODAY()))*('Daily Expenses'!$C$2:$C$201="Transport"))</f>
        <v/>
      </c>
      <c r="D26" s="39">
        <f>SUMPRODUCT(('Daily Expenses'!$G$2:$G$201)*(MONTH('Daily Expenses'!$A$2:$A$201)=3)*(YEAR('Daily Expenses'!$A$2:$A$201)=YEAR(TODAY()))*('Daily Expenses'!$C$2:$C$201="Transport"))</f>
        <v/>
      </c>
      <c r="E26" s="39">
        <f>SUMPRODUCT(('Daily Expenses'!$G$2:$G$201)*(MONTH('Daily Expenses'!$A$2:$A$201)=4)*(YEAR('Daily Expenses'!$A$2:$A$201)=YEAR(TODAY()))*('Daily Expenses'!$C$2:$C$201="Transport"))</f>
        <v/>
      </c>
      <c r="F26" s="39">
        <f>SUMPRODUCT(('Daily Expenses'!$G$2:$G$201)*(MONTH('Daily Expenses'!$A$2:$A$201)=5)*(YEAR('Daily Expenses'!$A$2:$A$201)=YEAR(TODAY()))*('Daily Expenses'!$C$2:$C$201="Transport"))</f>
        <v/>
      </c>
      <c r="G26" s="39">
        <f>SUMPRODUCT(('Daily Expenses'!$G$2:$G$201)*(MONTH('Daily Expenses'!$A$2:$A$201)=6)*(YEAR('Daily Expenses'!$A$2:$A$201)=YEAR(TODAY()))*('Daily Expenses'!$C$2:$C$201="Transport"))</f>
        <v/>
      </c>
      <c r="H26" s="39">
        <f>SUMPRODUCT(('Daily Expenses'!$G$2:$G$201)*(MONTH('Daily Expenses'!$A$2:$A$201)=7)*(YEAR('Daily Expenses'!$A$2:$A$201)=YEAR(TODAY()))*('Daily Expenses'!$C$2:$C$201="Transport"))</f>
        <v/>
      </c>
      <c r="I26" s="39">
        <f>SUMPRODUCT(('Daily Expenses'!$G$2:$G$201)*(MONTH('Daily Expenses'!$A$2:$A$201)=8)*(YEAR('Daily Expenses'!$A$2:$A$201)=YEAR(TODAY()))*('Daily Expenses'!$C$2:$C$201="Transport"))</f>
        <v/>
      </c>
      <c r="J26" s="39">
        <f>SUMPRODUCT(('Daily Expenses'!$G$2:$G$201)*(MONTH('Daily Expenses'!$A$2:$A$201)=9)*(YEAR('Daily Expenses'!$A$2:$A$201)=YEAR(TODAY()))*('Daily Expenses'!$C$2:$C$201="Transport"))</f>
        <v/>
      </c>
      <c r="K26" s="39">
        <f>SUMPRODUCT(('Daily Expenses'!$G$2:$G$201)*(MONTH('Daily Expenses'!$A$2:$A$201)=10)*(YEAR('Daily Expenses'!$A$2:$A$201)=YEAR(TODAY()))*('Daily Expenses'!$C$2:$C$201="Transport"))</f>
        <v/>
      </c>
      <c r="L26" s="39">
        <f>SUMPRODUCT(('Daily Expenses'!$G$2:$G$201)*(MONTH('Daily Expenses'!$A$2:$A$201)=11)*(YEAR('Daily Expenses'!$A$2:$A$201)=YEAR(TODAY()))*('Daily Expenses'!$C$2:$C$201="Transport"))</f>
        <v/>
      </c>
      <c r="M26" s="39">
        <f>SUMPRODUCT(('Daily Expenses'!$G$2:$G$201)*(MONTH('Daily Expenses'!$A$2:$A$201)=12)*(YEAR('Daily Expenses'!$A$2:$A$201)=YEAR(TODAY()))*('Daily Expenses'!$C$2:$C$201="Transport"))</f>
        <v/>
      </c>
    </row>
    <row r="27" ht="18" customHeight="1">
      <c r="A27" s="37" t="inlineStr">
        <is>
          <t>Health</t>
        </is>
      </c>
      <c r="B27" s="38">
        <f>SUMPRODUCT(('Daily Expenses'!$G$2:$G$201)*(MONTH('Daily Expenses'!$A$2:$A$201)=1)*(YEAR('Daily Expenses'!$A$2:$A$201)=YEAR(TODAY()))*('Daily Expenses'!$C$2:$C$201="Health"))</f>
        <v/>
      </c>
      <c r="C27" s="38">
        <f>SUMPRODUCT(('Daily Expenses'!$G$2:$G$201)*(MONTH('Daily Expenses'!$A$2:$A$201)=2)*(YEAR('Daily Expenses'!$A$2:$A$201)=YEAR(TODAY()))*('Daily Expenses'!$C$2:$C$201="Health"))</f>
        <v/>
      </c>
      <c r="D27" s="38">
        <f>SUMPRODUCT(('Daily Expenses'!$G$2:$G$201)*(MONTH('Daily Expenses'!$A$2:$A$201)=3)*(YEAR('Daily Expenses'!$A$2:$A$201)=YEAR(TODAY()))*('Daily Expenses'!$C$2:$C$201="Health"))</f>
        <v/>
      </c>
      <c r="E27" s="38">
        <f>SUMPRODUCT(('Daily Expenses'!$G$2:$G$201)*(MONTH('Daily Expenses'!$A$2:$A$201)=4)*(YEAR('Daily Expenses'!$A$2:$A$201)=YEAR(TODAY()))*('Daily Expenses'!$C$2:$C$201="Health"))</f>
        <v/>
      </c>
      <c r="F27" s="38">
        <f>SUMPRODUCT(('Daily Expenses'!$G$2:$G$201)*(MONTH('Daily Expenses'!$A$2:$A$201)=5)*(YEAR('Daily Expenses'!$A$2:$A$201)=YEAR(TODAY()))*('Daily Expenses'!$C$2:$C$201="Health"))</f>
        <v/>
      </c>
      <c r="G27" s="38">
        <f>SUMPRODUCT(('Daily Expenses'!$G$2:$G$201)*(MONTH('Daily Expenses'!$A$2:$A$201)=6)*(YEAR('Daily Expenses'!$A$2:$A$201)=YEAR(TODAY()))*('Daily Expenses'!$C$2:$C$201="Health"))</f>
        <v/>
      </c>
      <c r="H27" s="38">
        <f>SUMPRODUCT(('Daily Expenses'!$G$2:$G$201)*(MONTH('Daily Expenses'!$A$2:$A$201)=7)*(YEAR('Daily Expenses'!$A$2:$A$201)=YEAR(TODAY()))*('Daily Expenses'!$C$2:$C$201="Health"))</f>
        <v/>
      </c>
      <c r="I27" s="38">
        <f>SUMPRODUCT(('Daily Expenses'!$G$2:$G$201)*(MONTH('Daily Expenses'!$A$2:$A$201)=8)*(YEAR('Daily Expenses'!$A$2:$A$201)=YEAR(TODAY()))*('Daily Expenses'!$C$2:$C$201="Health"))</f>
        <v/>
      </c>
      <c r="J27" s="38">
        <f>SUMPRODUCT(('Daily Expenses'!$G$2:$G$201)*(MONTH('Daily Expenses'!$A$2:$A$201)=9)*(YEAR('Daily Expenses'!$A$2:$A$201)=YEAR(TODAY()))*('Daily Expenses'!$C$2:$C$201="Health"))</f>
        <v/>
      </c>
      <c r="K27" s="38">
        <f>SUMPRODUCT(('Daily Expenses'!$G$2:$G$201)*(MONTH('Daily Expenses'!$A$2:$A$201)=10)*(YEAR('Daily Expenses'!$A$2:$A$201)=YEAR(TODAY()))*('Daily Expenses'!$C$2:$C$201="Health"))</f>
        <v/>
      </c>
      <c r="L27" s="38">
        <f>SUMPRODUCT(('Daily Expenses'!$G$2:$G$201)*(MONTH('Daily Expenses'!$A$2:$A$201)=11)*(YEAR('Daily Expenses'!$A$2:$A$201)=YEAR(TODAY()))*('Daily Expenses'!$C$2:$C$201="Health"))</f>
        <v/>
      </c>
      <c r="M27" s="38">
        <f>SUMPRODUCT(('Daily Expenses'!$G$2:$G$201)*(MONTH('Daily Expenses'!$A$2:$A$201)=12)*(YEAR('Daily Expenses'!$A$2:$A$201)=YEAR(TODAY()))*('Daily Expenses'!$C$2:$C$201="Health"))</f>
        <v/>
      </c>
    </row>
    <row r="28" ht="18" customHeight="1">
      <c r="A28" s="37" t="inlineStr">
        <is>
          <t>Supplements</t>
        </is>
      </c>
      <c r="B28" s="39">
        <f>SUMPRODUCT(('Daily Expenses'!$G$2:$G$201)*(MONTH('Daily Expenses'!$A$2:$A$201)=1)*(YEAR('Daily Expenses'!$A$2:$A$201)=YEAR(TODAY()))*('Daily Expenses'!$C$2:$C$201="Supplements"))</f>
        <v/>
      </c>
      <c r="C28" s="39">
        <f>SUMPRODUCT(('Daily Expenses'!$G$2:$G$201)*(MONTH('Daily Expenses'!$A$2:$A$201)=2)*(YEAR('Daily Expenses'!$A$2:$A$201)=YEAR(TODAY()))*('Daily Expenses'!$C$2:$C$201="Supplements"))</f>
        <v/>
      </c>
      <c r="D28" s="39">
        <f>SUMPRODUCT(('Daily Expenses'!$G$2:$G$201)*(MONTH('Daily Expenses'!$A$2:$A$201)=3)*(YEAR('Daily Expenses'!$A$2:$A$201)=YEAR(TODAY()))*('Daily Expenses'!$C$2:$C$201="Supplements"))</f>
        <v/>
      </c>
      <c r="E28" s="39">
        <f>SUMPRODUCT(('Daily Expenses'!$G$2:$G$201)*(MONTH('Daily Expenses'!$A$2:$A$201)=4)*(YEAR('Daily Expenses'!$A$2:$A$201)=YEAR(TODAY()))*('Daily Expenses'!$C$2:$C$201="Supplements"))</f>
        <v/>
      </c>
      <c r="F28" s="39">
        <f>SUMPRODUCT(('Daily Expenses'!$G$2:$G$201)*(MONTH('Daily Expenses'!$A$2:$A$201)=5)*(YEAR('Daily Expenses'!$A$2:$A$201)=YEAR(TODAY()))*('Daily Expenses'!$C$2:$C$201="Supplements"))</f>
        <v/>
      </c>
      <c r="G28" s="39">
        <f>SUMPRODUCT(('Daily Expenses'!$G$2:$G$201)*(MONTH('Daily Expenses'!$A$2:$A$201)=6)*(YEAR('Daily Expenses'!$A$2:$A$201)=YEAR(TODAY()))*('Daily Expenses'!$C$2:$C$201="Supplements"))</f>
        <v/>
      </c>
      <c r="H28" s="39">
        <f>SUMPRODUCT(('Daily Expenses'!$G$2:$G$201)*(MONTH('Daily Expenses'!$A$2:$A$201)=7)*(YEAR('Daily Expenses'!$A$2:$A$201)=YEAR(TODAY()))*('Daily Expenses'!$C$2:$C$201="Supplements"))</f>
        <v/>
      </c>
      <c r="I28" s="39">
        <f>SUMPRODUCT(('Daily Expenses'!$G$2:$G$201)*(MONTH('Daily Expenses'!$A$2:$A$201)=8)*(YEAR('Daily Expenses'!$A$2:$A$201)=YEAR(TODAY()))*('Daily Expenses'!$C$2:$C$201="Supplements"))</f>
        <v/>
      </c>
      <c r="J28" s="39">
        <f>SUMPRODUCT(('Daily Expenses'!$G$2:$G$201)*(MONTH('Daily Expenses'!$A$2:$A$201)=9)*(YEAR('Daily Expenses'!$A$2:$A$201)=YEAR(TODAY()))*('Daily Expenses'!$C$2:$C$201="Supplements"))</f>
        <v/>
      </c>
      <c r="K28" s="39">
        <f>SUMPRODUCT(('Daily Expenses'!$G$2:$G$201)*(MONTH('Daily Expenses'!$A$2:$A$201)=10)*(YEAR('Daily Expenses'!$A$2:$A$201)=YEAR(TODAY()))*('Daily Expenses'!$C$2:$C$201="Supplements"))</f>
        <v/>
      </c>
      <c r="L28" s="39">
        <f>SUMPRODUCT(('Daily Expenses'!$G$2:$G$201)*(MONTH('Daily Expenses'!$A$2:$A$201)=11)*(YEAR('Daily Expenses'!$A$2:$A$201)=YEAR(TODAY()))*('Daily Expenses'!$C$2:$C$201="Supplements"))</f>
        <v/>
      </c>
      <c r="M28" s="39">
        <f>SUMPRODUCT(('Daily Expenses'!$G$2:$G$201)*(MONTH('Daily Expenses'!$A$2:$A$201)=12)*(YEAR('Daily Expenses'!$A$2:$A$201)=YEAR(TODAY()))*('Daily Expenses'!$C$2:$C$201="Supplements"))</f>
        <v/>
      </c>
    </row>
    <row r="29" ht="18" customHeight="1">
      <c r="A29" s="37" t="inlineStr">
        <is>
          <t>Household</t>
        </is>
      </c>
      <c r="B29" s="38">
        <f>SUMPRODUCT(('Daily Expenses'!$G$2:$G$201)*(MONTH('Daily Expenses'!$A$2:$A$201)=1)*(YEAR('Daily Expenses'!$A$2:$A$201)=YEAR(TODAY()))*('Daily Expenses'!$C$2:$C$201="Household"))</f>
        <v/>
      </c>
      <c r="C29" s="38">
        <f>SUMPRODUCT(('Daily Expenses'!$G$2:$G$201)*(MONTH('Daily Expenses'!$A$2:$A$201)=2)*(YEAR('Daily Expenses'!$A$2:$A$201)=YEAR(TODAY()))*('Daily Expenses'!$C$2:$C$201="Household"))</f>
        <v/>
      </c>
      <c r="D29" s="38">
        <f>SUMPRODUCT(('Daily Expenses'!$G$2:$G$201)*(MONTH('Daily Expenses'!$A$2:$A$201)=3)*(YEAR('Daily Expenses'!$A$2:$A$201)=YEAR(TODAY()))*('Daily Expenses'!$C$2:$C$201="Household"))</f>
        <v/>
      </c>
      <c r="E29" s="38">
        <f>SUMPRODUCT(('Daily Expenses'!$G$2:$G$201)*(MONTH('Daily Expenses'!$A$2:$A$201)=4)*(YEAR('Daily Expenses'!$A$2:$A$201)=YEAR(TODAY()))*('Daily Expenses'!$C$2:$C$201="Household"))</f>
        <v/>
      </c>
      <c r="F29" s="38">
        <f>SUMPRODUCT(('Daily Expenses'!$G$2:$G$201)*(MONTH('Daily Expenses'!$A$2:$A$201)=5)*(YEAR('Daily Expenses'!$A$2:$A$201)=YEAR(TODAY()))*('Daily Expenses'!$C$2:$C$201="Household"))</f>
        <v/>
      </c>
      <c r="G29" s="38">
        <f>SUMPRODUCT(('Daily Expenses'!$G$2:$G$201)*(MONTH('Daily Expenses'!$A$2:$A$201)=6)*(YEAR('Daily Expenses'!$A$2:$A$201)=YEAR(TODAY()))*('Daily Expenses'!$C$2:$C$201="Household"))</f>
        <v/>
      </c>
      <c r="H29" s="38">
        <f>SUMPRODUCT(('Daily Expenses'!$G$2:$G$201)*(MONTH('Daily Expenses'!$A$2:$A$201)=7)*(YEAR('Daily Expenses'!$A$2:$A$201)=YEAR(TODAY()))*('Daily Expenses'!$C$2:$C$201="Household"))</f>
        <v/>
      </c>
      <c r="I29" s="38">
        <f>SUMPRODUCT(('Daily Expenses'!$G$2:$G$201)*(MONTH('Daily Expenses'!$A$2:$A$201)=8)*(YEAR('Daily Expenses'!$A$2:$A$201)=YEAR(TODAY()))*('Daily Expenses'!$C$2:$C$201="Household"))</f>
        <v/>
      </c>
      <c r="J29" s="38">
        <f>SUMPRODUCT(('Daily Expenses'!$G$2:$G$201)*(MONTH('Daily Expenses'!$A$2:$A$201)=9)*(YEAR('Daily Expenses'!$A$2:$A$201)=YEAR(TODAY()))*('Daily Expenses'!$C$2:$C$201="Household"))</f>
        <v/>
      </c>
      <c r="K29" s="38">
        <f>SUMPRODUCT(('Daily Expenses'!$G$2:$G$201)*(MONTH('Daily Expenses'!$A$2:$A$201)=10)*(YEAR('Daily Expenses'!$A$2:$A$201)=YEAR(TODAY()))*('Daily Expenses'!$C$2:$C$201="Household"))</f>
        <v/>
      </c>
      <c r="L29" s="38">
        <f>SUMPRODUCT(('Daily Expenses'!$G$2:$G$201)*(MONTH('Daily Expenses'!$A$2:$A$201)=11)*(YEAR('Daily Expenses'!$A$2:$A$201)=YEAR(TODAY()))*('Daily Expenses'!$C$2:$C$201="Household"))</f>
        <v/>
      </c>
      <c r="M29" s="38">
        <f>SUMPRODUCT(('Daily Expenses'!$G$2:$G$201)*(MONTH('Daily Expenses'!$A$2:$A$201)=12)*(YEAR('Daily Expenses'!$A$2:$A$201)=YEAR(TODAY()))*('Daily Expenses'!$C$2:$C$201="Household"))</f>
        <v/>
      </c>
    </row>
    <row r="30" ht="18" customHeight="1">
      <c r="A30" s="37" t="inlineStr">
        <is>
          <t>Electronics</t>
        </is>
      </c>
      <c r="B30" s="39">
        <f>SUMPRODUCT(('Daily Expenses'!$G$2:$G$201)*(MONTH('Daily Expenses'!$A$2:$A$201)=1)*(YEAR('Daily Expenses'!$A$2:$A$201)=YEAR(TODAY()))*('Daily Expenses'!$C$2:$C$201="Electronics"))</f>
        <v/>
      </c>
      <c r="C30" s="39">
        <f>SUMPRODUCT(('Daily Expenses'!$G$2:$G$201)*(MONTH('Daily Expenses'!$A$2:$A$201)=2)*(YEAR('Daily Expenses'!$A$2:$A$201)=YEAR(TODAY()))*('Daily Expenses'!$C$2:$C$201="Electronics"))</f>
        <v/>
      </c>
      <c r="D30" s="39">
        <f>SUMPRODUCT(('Daily Expenses'!$G$2:$G$201)*(MONTH('Daily Expenses'!$A$2:$A$201)=3)*(YEAR('Daily Expenses'!$A$2:$A$201)=YEAR(TODAY()))*('Daily Expenses'!$C$2:$C$201="Electronics"))</f>
        <v/>
      </c>
      <c r="E30" s="39">
        <f>SUMPRODUCT(('Daily Expenses'!$G$2:$G$201)*(MONTH('Daily Expenses'!$A$2:$A$201)=4)*(YEAR('Daily Expenses'!$A$2:$A$201)=YEAR(TODAY()))*('Daily Expenses'!$C$2:$C$201="Electronics"))</f>
        <v/>
      </c>
      <c r="F30" s="39">
        <f>SUMPRODUCT(('Daily Expenses'!$G$2:$G$201)*(MONTH('Daily Expenses'!$A$2:$A$201)=5)*(YEAR('Daily Expenses'!$A$2:$A$201)=YEAR(TODAY()))*('Daily Expenses'!$C$2:$C$201="Electronics"))</f>
        <v/>
      </c>
      <c r="G30" s="39">
        <f>SUMPRODUCT(('Daily Expenses'!$G$2:$G$201)*(MONTH('Daily Expenses'!$A$2:$A$201)=6)*(YEAR('Daily Expenses'!$A$2:$A$201)=YEAR(TODAY()))*('Daily Expenses'!$C$2:$C$201="Electronics"))</f>
        <v/>
      </c>
      <c r="H30" s="39">
        <f>SUMPRODUCT(('Daily Expenses'!$G$2:$G$201)*(MONTH('Daily Expenses'!$A$2:$A$201)=7)*(YEAR('Daily Expenses'!$A$2:$A$201)=YEAR(TODAY()))*('Daily Expenses'!$C$2:$C$201="Electronics"))</f>
        <v/>
      </c>
      <c r="I30" s="39">
        <f>SUMPRODUCT(('Daily Expenses'!$G$2:$G$201)*(MONTH('Daily Expenses'!$A$2:$A$201)=8)*(YEAR('Daily Expenses'!$A$2:$A$201)=YEAR(TODAY()))*('Daily Expenses'!$C$2:$C$201="Electronics"))</f>
        <v/>
      </c>
      <c r="J30" s="39">
        <f>SUMPRODUCT(('Daily Expenses'!$G$2:$G$201)*(MONTH('Daily Expenses'!$A$2:$A$201)=9)*(YEAR('Daily Expenses'!$A$2:$A$201)=YEAR(TODAY()))*('Daily Expenses'!$C$2:$C$201="Electronics"))</f>
        <v/>
      </c>
      <c r="K30" s="39">
        <f>SUMPRODUCT(('Daily Expenses'!$G$2:$G$201)*(MONTH('Daily Expenses'!$A$2:$A$201)=10)*(YEAR('Daily Expenses'!$A$2:$A$201)=YEAR(TODAY()))*('Daily Expenses'!$C$2:$C$201="Electronics"))</f>
        <v/>
      </c>
      <c r="L30" s="39">
        <f>SUMPRODUCT(('Daily Expenses'!$G$2:$G$201)*(MONTH('Daily Expenses'!$A$2:$A$201)=11)*(YEAR('Daily Expenses'!$A$2:$A$201)=YEAR(TODAY()))*('Daily Expenses'!$C$2:$C$201="Electronics"))</f>
        <v/>
      </c>
      <c r="M30" s="39">
        <f>SUMPRODUCT(('Daily Expenses'!$G$2:$G$201)*(MONTH('Daily Expenses'!$A$2:$A$201)=12)*(YEAR('Daily Expenses'!$A$2:$A$201)=YEAR(TODAY()))*('Daily Expenses'!$C$2:$C$201="Electronics"))</f>
        <v/>
      </c>
    </row>
    <row r="31" ht="18" customHeight="1">
      <c r="A31" s="37" t="inlineStr">
        <is>
          <t>Clothing</t>
        </is>
      </c>
      <c r="B31" s="38">
        <f>SUMPRODUCT(('Daily Expenses'!$G$2:$G$201)*(MONTH('Daily Expenses'!$A$2:$A$201)=1)*(YEAR('Daily Expenses'!$A$2:$A$201)=YEAR(TODAY()))*('Daily Expenses'!$C$2:$C$201="Clothing"))</f>
        <v/>
      </c>
      <c r="C31" s="38">
        <f>SUMPRODUCT(('Daily Expenses'!$G$2:$G$201)*(MONTH('Daily Expenses'!$A$2:$A$201)=2)*(YEAR('Daily Expenses'!$A$2:$A$201)=YEAR(TODAY()))*('Daily Expenses'!$C$2:$C$201="Clothing"))</f>
        <v/>
      </c>
      <c r="D31" s="38">
        <f>SUMPRODUCT(('Daily Expenses'!$G$2:$G$201)*(MONTH('Daily Expenses'!$A$2:$A$201)=3)*(YEAR('Daily Expenses'!$A$2:$A$201)=YEAR(TODAY()))*('Daily Expenses'!$C$2:$C$201="Clothing"))</f>
        <v/>
      </c>
      <c r="E31" s="38">
        <f>SUMPRODUCT(('Daily Expenses'!$G$2:$G$201)*(MONTH('Daily Expenses'!$A$2:$A$201)=4)*(YEAR('Daily Expenses'!$A$2:$A$201)=YEAR(TODAY()))*('Daily Expenses'!$C$2:$C$201="Clothing"))</f>
        <v/>
      </c>
      <c r="F31" s="38">
        <f>SUMPRODUCT(('Daily Expenses'!$G$2:$G$201)*(MONTH('Daily Expenses'!$A$2:$A$201)=5)*(YEAR('Daily Expenses'!$A$2:$A$201)=YEAR(TODAY()))*('Daily Expenses'!$C$2:$C$201="Clothing"))</f>
        <v/>
      </c>
      <c r="G31" s="38">
        <f>SUMPRODUCT(('Daily Expenses'!$G$2:$G$201)*(MONTH('Daily Expenses'!$A$2:$A$201)=6)*(YEAR('Daily Expenses'!$A$2:$A$201)=YEAR(TODAY()))*('Daily Expenses'!$C$2:$C$201="Clothing"))</f>
        <v/>
      </c>
      <c r="H31" s="38">
        <f>SUMPRODUCT(('Daily Expenses'!$G$2:$G$201)*(MONTH('Daily Expenses'!$A$2:$A$201)=7)*(YEAR('Daily Expenses'!$A$2:$A$201)=YEAR(TODAY()))*('Daily Expenses'!$C$2:$C$201="Clothing"))</f>
        <v/>
      </c>
      <c r="I31" s="38">
        <f>SUMPRODUCT(('Daily Expenses'!$G$2:$G$201)*(MONTH('Daily Expenses'!$A$2:$A$201)=8)*(YEAR('Daily Expenses'!$A$2:$A$201)=YEAR(TODAY()))*('Daily Expenses'!$C$2:$C$201="Clothing"))</f>
        <v/>
      </c>
      <c r="J31" s="38">
        <f>SUMPRODUCT(('Daily Expenses'!$G$2:$G$201)*(MONTH('Daily Expenses'!$A$2:$A$201)=9)*(YEAR('Daily Expenses'!$A$2:$A$201)=YEAR(TODAY()))*('Daily Expenses'!$C$2:$C$201="Clothing"))</f>
        <v/>
      </c>
      <c r="K31" s="38">
        <f>SUMPRODUCT(('Daily Expenses'!$G$2:$G$201)*(MONTH('Daily Expenses'!$A$2:$A$201)=10)*(YEAR('Daily Expenses'!$A$2:$A$201)=YEAR(TODAY()))*('Daily Expenses'!$C$2:$C$201="Clothing"))</f>
        <v/>
      </c>
      <c r="L31" s="38">
        <f>SUMPRODUCT(('Daily Expenses'!$G$2:$G$201)*(MONTH('Daily Expenses'!$A$2:$A$201)=11)*(YEAR('Daily Expenses'!$A$2:$A$201)=YEAR(TODAY()))*('Daily Expenses'!$C$2:$C$201="Clothing"))</f>
        <v/>
      </c>
      <c r="M31" s="38">
        <f>SUMPRODUCT(('Daily Expenses'!$G$2:$G$201)*(MONTH('Daily Expenses'!$A$2:$A$201)=12)*(YEAR('Daily Expenses'!$A$2:$A$201)=YEAR(TODAY()))*('Daily Expenses'!$C$2:$C$201="Clothing"))</f>
        <v/>
      </c>
    </row>
    <row r="32" ht="18" customHeight="1">
      <c r="A32" s="37" t="inlineStr">
        <is>
          <t>Entertainment</t>
        </is>
      </c>
      <c r="B32" s="39">
        <f>SUMPRODUCT(('Daily Expenses'!$G$2:$G$201)*(MONTH('Daily Expenses'!$A$2:$A$201)=1)*(YEAR('Daily Expenses'!$A$2:$A$201)=YEAR(TODAY()))*('Daily Expenses'!$C$2:$C$201="Entertainment"))</f>
        <v/>
      </c>
      <c r="C32" s="39">
        <f>SUMPRODUCT(('Daily Expenses'!$G$2:$G$201)*(MONTH('Daily Expenses'!$A$2:$A$201)=2)*(YEAR('Daily Expenses'!$A$2:$A$201)=YEAR(TODAY()))*('Daily Expenses'!$C$2:$C$201="Entertainment"))</f>
        <v/>
      </c>
      <c r="D32" s="39">
        <f>SUMPRODUCT(('Daily Expenses'!$G$2:$G$201)*(MONTH('Daily Expenses'!$A$2:$A$201)=3)*(YEAR('Daily Expenses'!$A$2:$A$201)=YEAR(TODAY()))*('Daily Expenses'!$C$2:$C$201="Entertainment"))</f>
        <v/>
      </c>
      <c r="E32" s="39">
        <f>SUMPRODUCT(('Daily Expenses'!$G$2:$G$201)*(MONTH('Daily Expenses'!$A$2:$A$201)=4)*(YEAR('Daily Expenses'!$A$2:$A$201)=YEAR(TODAY()))*('Daily Expenses'!$C$2:$C$201="Entertainment"))</f>
        <v/>
      </c>
      <c r="F32" s="39">
        <f>SUMPRODUCT(('Daily Expenses'!$G$2:$G$201)*(MONTH('Daily Expenses'!$A$2:$A$201)=5)*(YEAR('Daily Expenses'!$A$2:$A$201)=YEAR(TODAY()))*('Daily Expenses'!$C$2:$C$201="Entertainment"))</f>
        <v/>
      </c>
      <c r="G32" s="39">
        <f>SUMPRODUCT(('Daily Expenses'!$G$2:$G$201)*(MONTH('Daily Expenses'!$A$2:$A$201)=6)*(YEAR('Daily Expenses'!$A$2:$A$201)=YEAR(TODAY()))*('Daily Expenses'!$C$2:$C$201="Entertainment"))</f>
        <v/>
      </c>
      <c r="H32" s="39">
        <f>SUMPRODUCT(('Daily Expenses'!$G$2:$G$201)*(MONTH('Daily Expenses'!$A$2:$A$201)=7)*(YEAR('Daily Expenses'!$A$2:$A$201)=YEAR(TODAY()))*('Daily Expenses'!$C$2:$C$201="Entertainment"))</f>
        <v/>
      </c>
      <c r="I32" s="39">
        <f>SUMPRODUCT(('Daily Expenses'!$G$2:$G$201)*(MONTH('Daily Expenses'!$A$2:$A$201)=8)*(YEAR('Daily Expenses'!$A$2:$A$201)=YEAR(TODAY()))*('Daily Expenses'!$C$2:$C$201="Entertainment"))</f>
        <v/>
      </c>
      <c r="J32" s="39">
        <f>SUMPRODUCT(('Daily Expenses'!$G$2:$G$201)*(MONTH('Daily Expenses'!$A$2:$A$201)=9)*(YEAR('Daily Expenses'!$A$2:$A$201)=YEAR(TODAY()))*('Daily Expenses'!$C$2:$C$201="Entertainment"))</f>
        <v/>
      </c>
      <c r="K32" s="39">
        <f>SUMPRODUCT(('Daily Expenses'!$G$2:$G$201)*(MONTH('Daily Expenses'!$A$2:$A$201)=10)*(YEAR('Daily Expenses'!$A$2:$A$201)=YEAR(TODAY()))*('Daily Expenses'!$C$2:$C$201="Entertainment"))</f>
        <v/>
      </c>
      <c r="L32" s="39">
        <f>SUMPRODUCT(('Daily Expenses'!$G$2:$G$201)*(MONTH('Daily Expenses'!$A$2:$A$201)=11)*(YEAR('Daily Expenses'!$A$2:$A$201)=YEAR(TODAY()))*('Daily Expenses'!$C$2:$C$201="Entertainment"))</f>
        <v/>
      </c>
      <c r="M32" s="39">
        <f>SUMPRODUCT(('Daily Expenses'!$G$2:$G$201)*(MONTH('Daily Expenses'!$A$2:$A$201)=12)*(YEAR('Daily Expenses'!$A$2:$A$201)=YEAR(TODAY()))*('Daily Expenses'!$C$2:$C$201="Entertainment"))</f>
        <v/>
      </c>
    </row>
    <row r="33" ht="18" customHeight="1">
      <c r="A33" s="37" t="inlineStr">
        <is>
          <t>Other</t>
        </is>
      </c>
      <c r="B33" s="38">
        <f>SUMPRODUCT(('Daily Expenses'!$G$2:$G$201)*(MONTH('Daily Expenses'!$A$2:$A$201)=1)*(YEAR('Daily Expenses'!$A$2:$A$201)=YEAR(TODAY()))*('Daily Expenses'!$C$2:$C$201="Other"))</f>
        <v/>
      </c>
      <c r="C33" s="38">
        <f>SUMPRODUCT(('Daily Expenses'!$G$2:$G$201)*(MONTH('Daily Expenses'!$A$2:$A$201)=2)*(YEAR('Daily Expenses'!$A$2:$A$201)=YEAR(TODAY()))*('Daily Expenses'!$C$2:$C$201="Other"))</f>
        <v/>
      </c>
      <c r="D33" s="38">
        <f>SUMPRODUCT(('Daily Expenses'!$G$2:$G$201)*(MONTH('Daily Expenses'!$A$2:$A$201)=3)*(YEAR('Daily Expenses'!$A$2:$A$201)=YEAR(TODAY()))*('Daily Expenses'!$C$2:$C$201="Other"))</f>
        <v/>
      </c>
      <c r="E33" s="38">
        <f>SUMPRODUCT(('Daily Expenses'!$G$2:$G$201)*(MONTH('Daily Expenses'!$A$2:$A$201)=4)*(YEAR('Daily Expenses'!$A$2:$A$201)=YEAR(TODAY()))*('Daily Expenses'!$C$2:$C$201="Other"))</f>
        <v/>
      </c>
      <c r="F33" s="38">
        <f>SUMPRODUCT(('Daily Expenses'!$G$2:$G$201)*(MONTH('Daily Expenses'!$A$2:$A$201)=5)*(YEAR('Daily Expenses'!$A$2:$A$201)=YEAR(TODAY()))*('Daily Expenses'!$C$2:$C$201="Other"))</f>
        <v/>
      </c>
      <c r="G33" s="38">
        <f>SUMPRODUCT(('Daily Expenses'!$G$2:$G$201)*(MONTH('Daily Expenses'!$A$2:$A$201)=6)*(YEAR('Daily Expenses'!$A$2:$A$201)=YEAR(TODAY()))*('Daily Expenses'!$C$2:$C$201="Other"))</f>
        <v/>
      </c>
      <c r="H33" s="38">
        <f>SUMPRODUCT(('Daily Expenses'!$G$2:$G$201)*(MONTH('Daily Expenses'!$A$2:$A$201)=7)*(YEAR('Daily Expenses'!$A$2:$A$201)=YEAR(TODAY()))*('Daily Expenses'!$C$2:$C$201="Other"))</f>
        <v/>
      </c>
      <c r="I33" s="38">
        <f>SUMPRODUCT(('Daily Expenses'!$G$2:$G$201)*(MONTH('Daily Expenses'!$A$2:$A$201)=8)*(YEAR('Daily Expenses'!$A$2:$A$201)=YEAR(TODAY()))*('Daily Expenses'!$C$2:$C$201="Other"))</f>
        <v/>
      </c>
      <c r="J33" s="38">
        <f>SUMPRODUCT(('Daily Expenses'!$G$2:$G$201)*(MONTH('Daily Expenses'!$A$2:$A$201)=9)*(YEAR('Daily Expenses'!$A$2:$A$201)=YEAR(TODAY()))*('Daily Expenses'!$C$2:$C$201="Other"))</f>
        <v/>
      </c>
      <c r="K33" s="38">
        <f>SUMPRODUCT(('Daily Expenses'!$G$2:$G$201)*(MONTH('Daily Expenses'!$A$2:$A$201)=10)*(YEAR('Daily Expenses'!$A$2:$A$201)=YEAR(TODAY()))*('Daily Expenses'!$C$2:$C$201="Other"))</f>
        <v/>
      </c>
      <c r="L33" s="38">
        <f>SUMPRODUCT(('Daily Expenses'!$G$2:$G$201)*(MONTH('Daily Expenses'!$A$2:$A$201)=11)*(YEAR('Daily Expenses'!$A$2:$A$201)=YEAR(TODAY()))*('Daily Expenses'!$C$2:$C$201="Other"))</f>
        <v/>
      </c>
      <c r="M33" s="38">
        <f>SUMPRODUCT(('Daily Expenses'!$G$2:$G$201)*(MONTH('Daily Expenses'!$A$2:$A$201)=12)*(YEAR('Daily Expenses'!$A$2:$A$201)=YEAR(TODAY()))*('Daily Expenses'!$C$2:$C$201="Other"))</f>
        <v/>
      </c>
    </row>
  </sheetData>
  <mergeCells count="2">
    <mergeCell ref="A17:N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1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8" customWidth="1" min="5" max="5"/>
  </cols>
  <sheetData>
    <row r="1" ht="42" customHeight="1">
      <c r="A1" s="25" t="inlineStr">
        <is>
          <t>Category Analysis</t>
        </is>
      </c>
    </row>
    <row r="2" ht="30" customHeight="1">
      <c r="A2" s="26" t="inlineStr">
        <is>
          <t>Category</t>
        </is>
      </c>
      <c r="B2" s="26" t="inlineStr">
        <is>
          <t>Total Spending</t>
        </is>
      </c>
      <c r="C2" s="26" t="inlineStr">
        <is>
          <t>% of Total</t>
        </is>
      </c>
      <c r="D2" s="26" t="inlineStr">
        <is>
          <t>Transactions</t>
        </is>
      </c>
      <c r="E2" s="26" t="inlineStr">
        <is>
          <t>Avg / Transaction</t>
        </is>
      </c>
    </row>
    <row r="3" ht="20" customHeight="1">
      <c r="A3" s="40" t="inlineStr">
        <is>
          <t>Food</t>
        </is>
      </c>
      <c r="B3" s="28">
        <f>SUMIF('Daily Expenses'!$C:$C,"Food",'Daily Expenses'!$G:$G)</f>
        <v/>
      </c>
      <c r="C3" s="29">
        <f>IFERROR(B3/SUM('Daily Expenses'!$G$2:$G$201),0)</f>
        <v/>
      </c>
      <c r="D3" s="27">
        <f>COUNTIF('Daily Expenses'!$C:$C,"Food")</f>
        <v/>
      </c>
      <c r="E3" s="28">
        <f>IFERROR(B3/D3,0)</f>
        <v/>
      </c>
    </row>
    <row r="4" ht="20" customHeight="1">
      <c r="A4" s="41" t="inlineStr">
        <is>
          <t>Vegetables</t>
        </is>
      </c>
      <c r="B4" s="31">
        <f>SUMIF('Daily Expenses'!$C:$C,"Vegetables",'Daily Expenses'!$G:$G)</f>
        <v/>
      </c>
      <c r="C4" s="32">
        <f>IFERROR(B4/SUM('Daily Expenses'!$G$2:$G$201),0)</f>
        <v/>
      </c>
      <c r="D4" s="30">
        <f>COUNTIF('Daily Expenses'!$C:$C,"Vegetables")</f>
        <v/>
      </c>
      <c r="E4" s="31">
        <f>IFERROR(B4/D4,0)</f>
        <v/>
      </c>
    </row>
    <row r="5" ht="20" customHeight="1">
      <c r="A5" s="40" t="inlineStr">
        <is>
          <t>Meat</t>
        </is>
      </c>
      <c r="B5" s="28">
        <f>SUMIF('Daily Expenses'!$C:$C,"Meat",'Daily Expenses'!$G:$G)</f>
        <v/>
      </c>
      <c r="C5" s="29">
        <f>IFERROR(B5/SUM('Daily Expenses'!$G$2:$G$201),0)</f>
        <v/>
      </c>
      <c r="D5" s="27">
        <f>COUNTIF('Daily Expenses'!$C:$C,"Meat")</f>
        <v/>
      </c>
      <c r="E5" s="28">
        <f>IFERROR(B5/D5,0)</f>
        <v/>
      </c>
    </row>
    <row r="6" ht="20" customHeight="1">
      <c r="A6" s="41" t="inlineStr">
        <is>
          <t>Fish</t>
        </is>
      </c>
      <c r="B6" s="31">
        <f>SUMIF('Daily Expenses'!$C:$C,"Fish",'Daily Expenses'!$G:$G)</f>
        <v/>
      </c>
      <c r="C6" s="32">
        <f>IFERROR(B6/SUM('Daily Expenses'!$G$2:$G$201),0)</f>
        <v/>
      </c>
      <c r="D6" s="30">
        <f>COUNTIF('Daily Expenses'!$C:$C,"Fish")</f>
        <v/>
      </c>
      <c r="E6" s="31">
        <f>IFERROR(B6/D6,0)</f>
        <v/>
      </c>
    </row>
    <row r="7" ht="20" customHeight="1">
      <c r="A7" s="40" t="inlineStr">
        <is>
          <t>Protein</t>
        </is>
      </c>
      <c r="B7" s="28">
        <f>SUMIF('Daily Expenses'!$C:$C,"Protein",'Daily Expenses'!$G:$G)</f>
        <v/>
      </c>
      <c r="C7" s="29">
        <f>IFERROR(B7/SUM('Daily Expenses'!$G$2:$G$201),0)</f>
        <v/>
      </c>
      <c r="D7" s="27">
        <f>COUNTIF('Daily Expenses'!$C:$C,"Protein")</f>
        <v/>
      </c>
      <c r="E7" s="28">
        <f>IFERROR(B7/D7,0)</f>
        <v/>
      </c>
    </row>
    <row r="8" ht="20" customHeight="1">
      <c r="A8" s="41" t="inlineStr">
        <is>
          <t>Snacks</t>
        </is>
      </c>
      <c r="B8" s="31">
        <f>SUMIF('Daily Expenses'!$C:$C,"Snacks",'Daily Expenses'!$G:$G)</f>
        <v/>
      </c>
      <c r="C8" s="32">
        <f>IFERROR(B8/SUM('Daily Expenses'!$G$2:$G$201),0)</f>
        <v/>
      </c>
      <c r="D8" s="30">
        <f>COUNTIF('Daily Expenses'!$C:$C,"Snacks")</f>
        <v/>
      </c>
      <c r="E8" s="31">
        <f>IFERROR(B8/D8,0)</f>
        <v/>
      </c>
    </row>
    <row r="9" ht="20" customHeight="1">
      <c r="A9" s="40" t="inlineStr">
        <is>
          <t>Drinks</t>
        </is>
      </c>
      <c r="B9" s="28">
        <f>SUMIF('Daily Expenses'!$C:$C,"Drinks",'Daily Expenses'!$G:$G)</f>
        <v/>
      </c>
      <c r="C9" s="29">
        <f>IFERROR(B9/SUM('Daily Expenses'!$G$2:$G$201),0)</f>
        <v/>
      </c>
      <c r="D9" s="27">
        <f>COUNTIF('Daily Expenses'!$C:$C,"Drinks")</f>
        <v/>
      </c>
      <c r="E9" s="28">
        <f>IFERROR(B9/D9,0)</f>
        <v/>
      </c>
    </row>
    <row r="10" ht="20" customHeight="1">
      <c r="A10" s="41" t="inlineStr">
        <is>
          <t>Transport</t>
        </is>
      </c>
      <c r="B10" s="31">
        <f>SUMIF('Daily Expenses'!$C:$C,"Transport",'Daily Expenses'!$G:$G)</f>
        <v/>
      </c>
      <c r="C10" s="32">
        <f>IFERROR(B10/SUM('Daily Expenses'!$G$2:$G$201),0)</f>
        <v/>
      </c>
      <c r="D10" s="30">
        <f>COUNTIF('Daily Expenses'!$C:$C,"Transport")</f>
        <v/>
      </c>
      <c r="E10" s="31">
        <f>IFERROR(B10/D10,0)</f>
        <v/>
      </c>
    </row>
    <row r="11" ht="20" customHeight="1">
      <c r="A11" s="40" t="inlineStr">
        <is>
          <t>Health</t>
        </is>
      </c>
      <c r="B11" s="28">
        <f>SUMIF('Daily Expenses'!$C:$C,"Health",'Daily Expenses'!$G:$G)</f>
        <v/>
      </c>
      <c r="C11" s="29">
        <f>IFERROR(B11/SUM('Daily Expenses'!$G$2:$G$201),0)</f>
        <v/>
      </c>
      <c r="D11" s="27">
        <f>COUNTIF('Daily Expenses'!$C:$C,"Health")</f>
        <v/>
      </c>
      <c r="E11" s="28">
        <f>IFERROR(B11/D11,0)</f>
        <v/>
      </c>
    </row>
    <row r="12" ht="20" customHeight="1">
      <c r="A12" s="41" t="inlineStr">
        <is>
          <t>Supplements</t>
        </is>
      </c>
      <c r="B12" s="31">
        <f>SUMIF('Daily Expenses'!$C:$C,"Supplements",'Daily Expenses'!$G:$G)</f>
        <v/>
      </c>
      <c r="C12" s="32">
        <f>IFERROR(B12/SUM('Daily Expenses'!$G$2:$G$201),0)</f>
        <v/>
      </c>
      <c r="D12" s="30">
        <f>COUNTIF('Daily Expenses'!$C:$C,"Supplements")</f>
        <v/>
      </c>
      <c r="E12" s="31">
        <f>IFERROR(B12/D12,0)</f>
        <v/>
      </c>
    </row>
    <row r="13" ht="20" customHeight="1">
      <c r="A13" s="40" t="inlineStr">
        <is>
          <t>Household</t>
        </is>
      </c>
      <c r="B13" s="28">
        <f>SUMIF('Daily Expenses'!$C:$C,"Household",'Daily Expenses'!$G:$G)</f>
        <v/>
      </c>
      <c r="C13" s="29">
        <f>IFERROR(B13/SUM('Daily Expenses'!$G$2:$G$201),0)</f>
        <v/>
      </c>
      <c r="D13" s="27">
        <f>COUNTIF('Daily Expenses'!$C:$C,"Household")</f>
        <v/>
      </c>
      <c r="E13" s="28">
        <f>IFERROR(B13/D13,0)</f>
        <v/>
      </c>
    </row>
    <row r="14" ht="20" customHeight="1">
      <c r="A14" s="41" t="inlineStr">
        <is>
          <t>Electronics</t>
        </is>
      </c>
      <c r="B14" s="31">
        <f>SUMIF('Daily Expenses'!$C:$C,"Electronics",'Daily Expenses'!$G:$G)</f>
        <v/>
      </c>
      <c r="C14" s="32">
        <f>IFERROR(B14/SUM('Daily Expenses'!$G$2:$G$201),0)</f>
        <v/>
      </c>
      <c r="D14" s="30">
        <f>COUNTIF('Daily Expenses'!$C:$C,"Electronics")</f>
        <v/>
      </c>
      <c r="E14" s="31">
        <f>IFERROR(B14/D14,0)</f>
        <v/>
      </c>
    </row>
    <row r="15" ht="20" customHeight="1">
      <c r="A15" s="40" t="inlineStr">
        <is>
          <t>Clothing</t>
        </is>
      </c>
      <c r="B15" s="28">
        <f>SUMIF('Daily Expenses'!$C:$C,"Clothing",'Daily Expenses'!$G:$G)</f>
        <v/>
      </c>
      <c r="C15" s="29">
        <f>IFERROR(B15/SUM('Daily Expenses'!$G$2:$G$201),0)</f>
        <v/>
      </c>
      <c r="D15" s="27">
        <f>COUNTIF('Daily Expenses'!$C:$C,"Clothing")</f>
        <v/>
      </c>
      <c r="E15" s="28">
        <f>IFERROR(B15/D15,0)</f>
        <v/>
      </c>
    </row>
    <row r="16" ht="20" customHeight="1">
      <c r="A16" s="41" t="inlineStr">
        <is>
          <t>Entertainment</t>
        </is>
      </c>
      <c r="B16" s="31">
        <f>SUMIF('Daily Expenses'!$C:$C,"Entertainment",'Daily Expenses'!$G:$G)</f>
        <v/>
      </c>
      <c r="C16" s="32">
        <f>IFERROR(B16/SUM('Daily Expenses'!$G$2:$G$201),0)</f>
        <v/>
      </c>
      <c r="D16" s="30">
        <f>COUNTIF('Daily Expenses'!$C:$C,"Entertainment")</f>
        <v/>
      </c>
      <c r="E16" s="31">
        <f>IFERROR(B16/D16,0)</f>
        <v/>
      </c>
    </row>
    <row r="17" ht="20" customHeight="1">
      <c r="A17" s="40" t="inlineStr">
        <is>
          <t>Other</t>
        </is>
      </c>
      <c r="B17" s="28">
        <f>SUMIF('Daily Expenses'!$C:$C,"Other",'Daily Expenses'!$G:$G)</f>
        <v/>
      </c>
      <c r="C17" s="29">
        <f>IFERROR(B17/SUM('Daily Expenses'!$G$2:$G$201),0)</f>
        <v/>
      </c>
      <c r="D17" s="27">
        <f>COUNTIF('Daily Expenses'!$C:$C,"Other")</f>
        <v/>
      </c>
      <c r="E17" s="28">
        <f>IFERROR(B17/D17,0)</f>
        <v/>
      </c>
    </row>
    <row r="18" ht="22" customHeight="1">
      <c r="A18" s="33" t="inlineStr">
        <is>
          <t>TOTAL</t>
        </is>
      </c>
      <c r="B18" s="34">
        <f>SUM('Daily Expenses'!$G$2:$G$201)</f>
        <v/>
      </c>
      <c r="C18" s="42">
        <f>SUM(C3:C17)</f>
        <v/>
      </c>
      <c r="D18" s="33">
        <f>COUNTA('Daily Expenses'!$C$2:$C$201)</f>
        <v/>
      </c>
      <c r="E18" s="34">
        <f>IFERROR(B18/D18,0)</f>
        <v/>
      </c>
    </row>
  </sheetData>
  <mergeCells count="1">
    <mergeCell ref="A1:E1"/>
  </mergeCells>
  <conditionalFormatting sqref="A3:E17">
    <cfRule type="expression" priority="1" dxfId="1">
      <formula>$B3=MAX($B$3:$B$17)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G15"/>
  <sheetViews>
    <sheetView zoomScale="95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0" customWidth="1" min="7" max="7"/>
  </cols>
  <sheetData>
    <row r="1" ht="42" customHeight="1">
      <c r="A1" s="25" t="inlineStr">
        <is>
          <t>Budget Tracking &amp; Alerts</t>
        </is>
      </c>
    </row>
    <row r="3" ht="28" customHeight="1">
      <c r="A3" s="43" t="inlineStr">
        <is>
          <t>Budget vs. Actual Spending</t>
        </is>
      </c>
    </row>
    <row r="4" ht="30" customHeight="1">
      <c r="A4" s="26" t="inlineStr">
        <is>
          <t>Period</t>
        </is>
      </c>
      <c r="B4" s="26" t="inlineStr">
        <is>
          <t>Budget (CHF)</t>
        </is>
      </c>
      <c r="C4" s="26" t="inlineStr">
        <is>
          <t>Spent (CHF)</t>
        </is>
      </c>
      <c r="D4" s="26" t="inlineStr">
        <is>
          <t>Remaining</t>
        </is>
      </c>
      <c r="E4" s="26" t="inlineStr">
        <is>
          <t>% Used</t>
        </is>
      </c>
      <c r="F4" s="26" t="inlineStr"/>
      <c r="G4" s="26" t="inlineStr">
        <is>
          <t>Status</t>
        </is>
      </c>
    </row>
    <row r="5" ht="32" customHeight="1">
      <c r="A5" s="44" t="inlineStr">
        <is>
          <t>Monthly Budget</t>
        </is>
      </c>
      <c r="B5" s="45" t="n">
        <v>3000</v>
      </c>
      <c r="C5" s="28">
        <f>SUMPRODUCT((MONTH('Daily Expenses'!$A$2:$A$201)=MONTH(TODAY()))*(YEAR('Daily Expenses'!$A$2:$A$201)=YEAR(TODAY()))*'Daily Expenses'!$G$2:$G$201)</f>
        <v/>
      </c>
      <c r="D5" s="28">
        <f>B5-C5</f>
        <v/>
      </c>
      <c r="E5" s="46">
        <f>IFERROR(C5/B5,0)</f>
        <v/>
      </c>
      <c r="F5" s="47" t="n"/>
      <c r="G5" s="48">
        <f>IF(E5&gt;1,"🔴 OVER BUDGET!",IF(E5&gt;0.8,"🟡 WARNING — Near Limit","🟢 On Track"))</f>
        <v/>
      </c>
    </row>
    <row r="7" ht="32" customHeight="1">
      <c r="A7" s="44" t="inlineStr">
        <is>
          <t>Weekly Budget</t>
        </is>
      </c>
      <c r="B7" s="45" t="n">
        <v>700</v>
      </c>
      <c r="C7" s="28">
        <f>SUMPRODUCT(('Daily Expenses'!$A$2:$A$201&gt;=TODAY()-WEEKDAY(TODAY(),2)+1)*('Daily Expenses'!$A$2:$A$201&lt;=TODAY()-WEEKDAY(TODAY(),2)+7)*'Daily Expenses'!$G$2:$G$201)</f>
        <v/>
      </c>
      <c r="D7" s="28">
        <f>B7-C7</f>
        <v/>
      </c>
      <c r="E7" s="46">
        <f>IFERROR(C7/B7,0)</f>
        <v/>
      </c>
      <c r="F7" s="47" t="n"/>
      <c r="G7" s="48">
        <f>IF(E7&gt;1,"🔴 OVER BUDGET!",IF(E7&gt;0.8,"🟡 WARNING — Near Limit","🟢 On Track"))</f>
        <v/>
      </c>
    </row>
    <row r="9" ht="32" customHeight="1">
      <c r="A9" s="44" t="inlineStr">
        <is>
          <t>Daily Average</t>
        </is>
      </c>
      <c r="B9" s="45" t="n">
        <v>100</v>
      </c>
      <c r="C9" s="28">
        <f>IFERROR(SUMPRODUCT(('Daily Expenses'!$G$2:$G$201&lt;&gt;"")*'Daily Expenses'!$G$2:$G$201)/SUMPRODUCT(--('Daily Expenses'!$G$2:$G$201&lt;&gt;"")),0)</f>
        <v/>
      </c>
      <c r="D9" s="28">
        <f>B9-C9</f>
        <v/>
      </c>
      <c r="E9" s="46">
        <f>IFERROR(C9/B9,0)</f>
        <v/>
      </c>
      <c r="F9" s="47" t="n"/>
      <c r="G9" s="48">
        <f>IF(E9&gt;1,"🔴 OVER BUDGET!",IF(E9&gt;0.8,"🟡 WARNING — Near Limit","🟢 On Track"))</f>
        <v/>
      </c>
    </row>
    <row r="11" ht="10" customHeight="1"/>
    <row r="12" ht="24" customHeight="1">
      <c r="A12" s="49" t="inlineStr">
        <is>
          <t>Budget Tips</t>
        </is>
      </c>
    </row>
    <row r="13" ht="20" customHeight="1">
      <c r="A13" s="50" t="inlineStr">
        <is>
          <t>• Edit the Budget (CHF) cells in column B to set your personal targets.</t>
        </is>
      </c>
    </row>
    <row r="14" ht="20" customHeight="1">
      <c r="A14" s="50" t="inlineStr">
        <is>
          <t>• All spending figures update automatically from the Daily Expenses sheet.</t>
        </is>
      </c>
    </row>
    <row r="15" ht="20" customHeight="1">
      <c r="A15" s="50" t="inlineStr">
        <is>
          <t>• Green = under 80% used   |   Yellow = 80-100%   |   Red = over budget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D7A"/>
  <mergeCells count="6">
    <mergeCell ref="A13:G13"/>
    <mergeCell ref="A14:G14"/>
    <mergeCell ref="A1:G1"/>
    <mergeCell ref="A3:G3"/>
    <mergeCell ref="A12:G12"/>
    <mergeCell ref="A15:G15"/>
  </mergeCells>
  <conditionalFormatting sqref="E5:E9">
    <cfRule type="cellIs" priority="1" operator="greaterThan" dxfId="2">
      <formula>1</formula>
    </cfRule>
    <cfRule type="cellIs" priority="2" operator="between" dxfId="3">
      <formula>0.8</formula>
      <formula>1</formula>
    </cfRule>
    <cfRule type="cellIs" priority="3" operator="lessThan" dxfId="4">
      <formula>0.8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Z10"/>
  <sheetViews>
    <sheetView zoomScale="90" workbookViewId="0">
      <selection activeCell="A1" sqref="A1"/>
    </sheetView>
  </sheetViews>
  <sheetFormatPr baseColWidth="8" defaultRowHeight="15"/>
  <cols>
    <col hidden="1" width="13" customWidth="1" min="19" max="19"/>
    <col hidden="1" width="13" customWidth="1" min="20" max="20"/>
  </cols>
  <sheetData>
    <row r="1" ht="42" customHeight="1">
      <c r="A1" s="51" t="inlineStr">
        <is>
          <t>Charts &amp; Analytics</t>
        </is>
      </c>
    </row>
    <row r="2">
      <c r="S2" t="inlineStr">
        <is>
          <t>Store</t>
        </is>
      </c>
      <c r="T2" t="inlineStr">
        <is>
          <t>Total</t>
        </is>
      </c>
    </row>
    <row r="3">
      <c r="S3" t="inlineStr">
        <is>
          <t>Migros</t>
        </is>
      </c>
      <c r="T3">
        <f>SUMIF('Daily Expenses'!$D:$D,"Migros",'Daily Expenses'!$G:$G)</f>
        <v/>
      </c>
    </row>
    <row r="4">
      <c r="S4" t="inlineStr">
        <is>
          <t>Coop</t>
        </is>
      </c>
      <c r="T4">
        <f>SUMIF('Daily Expenses'!$D:$D,"Coop",'Daily Expenses'!$G:$G)</f>
        <v/>
      </c>
    </row>
    <row r="5">
      <c r="S5" t="inlineStr">
        <is>
          <t>SBB</t>
        </is>
      </c>
      <c r="T5">
        <f>SUMIF('Daily Expenses'!$D:$D,"SBB",'Daily Expenses'!$G:$G)</f>
        <v/>
      </c>
    </row>
    <row r="6">
      <c r="S6" t="inlineStr">
        <is>
          <t>Apotheke</t>
        </is>
      </c>
      <c r="T6">
        <f>SUMIF('Daily Expenses'!$D:$D,"Apotheke",'Daily Expenses'!$G:$G)</f>
        <v/>
      </c>
    </row>
    <row r="7">
      <c r="S7" t="inlineStr">
        <is>
          <t>Sportxx</t>
        </is>
      </c>
      <c r="T7">
        <f>SUMIF('Daily Expenses'!$D:$D,"Sportxx",'Daily Expenses'!$G:$G)</f>
        <v/>
      </c>
    </row>
    <row r="8">
      <c r="S8" t="inlineStr">
        <is>
          <t>Media Markt</t>
        </is>
      </c>
      <c r="T8">
        <f>SUMIF('Daily Expenses'!$D:$D,"Media Markt",'Daily Expenses'!$G:$G)</f>
        <v/>
      </c>
    </row>
    <row r="9">
      <c r="S9" t="inlineStr">
        <is>
          <t>Netflix</t>
        </is>
      </c>
      <c r="T9">
        <f>SUMIF('Daily Expenses'!$D:$D,"Netflix",'Daily Expenses'!$G:$G)</f>
        <v/>
      </c>
    </row>
    <row r="10">
      <c r="S10" t="inlineStr">
        <is>
          <t>Fitness Park</t>
        </is>
      </c>
      <c r="T10">
        <f>SUMIF('Daily Expenses'!$D:$D,"Fitness Park",'Daily Expenses'!$G:$G)</f>
        <v/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2026-06-11T21:20:31Z</dcterms:created>
  <dcterms:modified xsi:type="dcterms:W3CDTF">2026-06-11T21:20:31Z</dcterms:modified>
</cp:coreProperties>
</file>